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BS" sheetId="1" r:id="rId4"/>
  </sheets>
  <definedNames/>
  <calcPr/>
  <extLst>
    <ext uri="GoogleSheetsCustomDataVersion2">
      <go:sheetsCustomData xmlns:go="http://customooxmlschemas.google.com/" r:id="rId5" roundtripDataChecksum="DJqYIN590gHhjSky7+hjVEtzJRFTnss4WDC0SPHVRb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2">
      <text>
        <t xml:space="preserve">bỏ dòng chưa đặt cọc vì phải cọc thì đơn mới được đặt
======</t>
      </text>
    </comment>
  </commentList>
</comments>
</file>

<file path=xl/sharedStrings.xml><?xml version="1.0" encoding="utf-8"?>
<sst xmlns="http://schemas.openxmlformats.org/spreadsheetml/2006/main" count="468" uniqueCount="344">
  <si>
    <t>STT</t>
  </si>
  <si>
    <t>Chức năng</t>
  </si>
  <si>
    <t>Nhân sự phụ trách</t>
  </si>
  <si>
    <t>Form</t>
  </si>
  <si>
    <t>Mô tả</t>
  </si>
  <si>
    <t>Thời gian (MDs)</t>
  </si>
  <si>
    <t>Trạng thái</t>
  </si>
  <si>
    <t>Ghi chú</t>
  </si>
  <si>
    <t>1</t>
  </si>
  <si>
    <t>Quản lý tài khoản</t>
  </si>
  <si>
    <t>Đang phát triển</t>
  </si>
  <si>
    <t>1.1</t>
  </si>
  <si>
    <t>Xác thực tài khoản</t>
  </si>
  <si>
    <t>Lê Thị Thuỳ Linh</t>
  </si>
  <si>
    <t>1.1.1</t>
  </si>
  <si>
    <t>Đăng ký</t>
  </si>
  <si>
    <t>Là chức năng cho phép khách hàng mới tạo tài khoản bằng cách cung cấp các thông tin cơ bản (Họ tên, Số điện thoại, Email, Mật khẩu). Hệ thống sẽ kiểm tra tính duy nhất của số điện thoại/email trước khi tạo tài khoản.</t>
  </si>
  <si>
    <t>1.1.2</t>
  </si>
  <si>
    <t>Đăng nhập</t>
  </si>
  <si>
    <t>Là chức năng mà hệ thống xác thực quyền truy cập của người dùng thông qua thông tin đăng nhập (Email/SĐT) và mật khẩu. Sau khi xác thực thành công, hệ thống sẽ xác định vai trò người dùng (khách hàng, nhân viên, quản lý, admin) và điều hướng đến giao diện tương ứng.</t>
  </si>
  <si>
    <t>1.1.3</t>
  </si>
  <si>
    <t>Đăng xuất</t>
  </si>
  <si>
    <t>Là chức năng mà hệ thống chấm dứt phiên làm việc hiện tại của người dùng.</t>
  </si>
  <si>
    <t>1.1.4</t>
  </si>
  <si>
    <t>Quên mật khẩu</t>
  </si>
  <si>
    <t>Là chức năng hệ thống hỗ trợ người dùng lấy lại quyền truy cập khi quên mật khẩu. Hệ thống gửi mã xác thực (OTP) qua Email/SMS để người dùng có thể đăng nhập vào tài khoản.</t>
  </si>
  <si>
    <t>1.1.5</t>
  </si>
  <si>
    <t>Đổi mật khẩu</t>
  </si>
  <si>
    <t>Là Chức năng bảo mật cho phép người dùng chủ động thay đổi mật khẩu định kỳ hoặc khi có nghi ngờ lộ thông tin (yêu cầu nhập mật khẩu cũ hoặc nhập mã xác thực OTP qua SMS/Email để xác minh chính chủ).</t>
  </si>
  <si>
    <t>1.2</t>
  </si>
  <si>
    <t>Quản trị tài khoản</t>
  </si>
  <si>
    <t xml:space="preserve">Đinh Thị Quỳnh Anh </t>
  </si>
  <si>
    <t>1.2.1</t>
  </si>
  <si>
    <t>Thêm mới tài khoản</t>
  </si>
  <si>
    <t xml:space="preserve">Quản trị viên có quyền tạo tài khoản nội bộ cho nhân viên trong Studio. </t>
  </si>
  <si>
    <t>1.2.2</t>
  </si>
  <si>
    <t>Khoá tài khoản</t>
  </si>
  <si>
    <t>Là chức năng giúp tạm dừng quyền truy cập của tài khoản. 
Người dùng chức năng: Admin.</t>
  </si>
  <si>
    <t>1.2.3</t>
  </si>
  <si>
    <t>Tìm kiếm tài khoản</t>
  </si>
  <si>
    <t>Là chức năng quản trị có thể quản lý danh sách lớn người dùng. Có thể tìm nhanh theo mã/tên tài khoản.</t>
  </si>
  <si>
    <t>1.2.4</t>
  </si>
  <si>
    <t>Lọc tài khoản</t>
  </si>
  <si>
    <t>Là chức năng giúp quản trị viên lọc danh sách tài khoản theo nhiều tiêu chí: bộ phận, vai trò, trạng thái hoạt động</t>
  </si>
  <si>
    <t>1.2.5</t>
  </si>
  <si>
    <t>Xem danh sách và chi tiết tài khoản</t>
  </si>
  <si>
    <t>Là chức năng giúp quản trị viên xem danh sách tài khoản và thông tin chi tiết của từng tài khoản của nhân viên để thuận tiện cho việc theo dõi và quản lý người dùng trong hệ thống.</t>
  </si>
  <si>
    <t>1.2.6</t>
  </si>
  <si>
    <t>Chỉnh sửa tài khoản nhân viên</t>
  </si>
  <si>
    <t>Là chức năng giúp quản trị viên chỉnh sửa tài khoản nhân viên (vai trò, bộ phận, đổi mật khẩu khi cần thiết) để đảm bảo quyền truy cập và chức năng trên hệ thống luôn phù hợp với vị trí công việc hiện tại của nhân viên.</t>
  </si>
  <si>
    <t>1.2.7</t>
  </si>
  <si>
    <t>Chỉnh sửa phân quyền</t>
  </si>
  <si>
    <t>Là chức năng giúp quản trị viên chỉnh sửa quyền của các vai trò trong hệ thống để đảm bảo mỗi nhóm người dùng chỉ được phép thực hiện các chức năng phù hợp với trách nhiệm công việc của mình.</t>
  </si>
  <si>
    <t>2</t>
  </si>
  <si>
    <t xml:space="preserve">Quản lý lịch làm việc </t>
  </si>
  <si>
    <t>2.1</t>
  </si>
  <si>
    <t>Đăng ký lịch</t>
  </si>
  <si>
    <t>2.1.1</t>
  </si>
  <si>
    <t>Đăng ký ca làm việc</t>
  </si>
  <si>
    <t>Là chức năng cho phép nhân viên Freelancer chọn các ngày và ca làm việc (Sáng/Chiều/Tối) mà mình có thể đi làm trong tháng tới. Chỉ thực hiện được trong khoảng thời gian mà mở "Đợt đăng ký" (không dành cho nhân viên cố định).</t>
  </si>
  <si>
    <t>2.1.2</t>
  </si>
  <si>
    <t xml:space="preserve">Tạo yêu cầu thay đổi ca làm </t>
  </si>
  <si>
    <t xml:space="preserve">Là chức năng cho phép nhân viên freelancer gửi yêu cầu thay đổi ca làm việc đã đăng ký. Yêu cầu sẽ được gửi đến quản lý để xem xét và phê duyệt.
</t>
  </si>
  <si>
    <t>2.1.3</t>
  </si>
  <si>
    <t>Xem lịch cá nhân</t>
  </si>
  <si>
    <t>Là chức năng giúp nhân viên Freelancer xem lịch làm việc đã được phân công và kết quả đăng ký các ca làm việc để theo dõi tình trạng phân công ca, các ca làm việc hiện tại và sắp tới, đồng thời biết được ca nào được phân công, không được phân công hoặc đang chờ xử lý yêu cầu đổi lịch nhằm chủ động sắp xếp thời gian và tham gia đúng lịch làm việc</t>
  </si>
  <si>
    <t>2.2</t>
  </si>
  <si>
    <t>Điều phối ca chụp</t>
  </si>
  <si>
    <t>2.2.1</t>
  </si>
  <si>
    <t>Gán nhân viên cho từng ca chụp</t>
  </si>
  <si>
    <t>Là chức năng cho phép nhân viên Sales lựa chọn và gán nhân viên phù hợp vào từng ca chụp sau khi khách hàng đã đặt lịch và nhân viên đã hoàn tất đăng ký lịch rảnh.</t>
  </si>
  <si>
    <t>2.2.2</t>
  </si>
  <si>
    <t>Chỉnh sửa nhân viên trong ca chụp</t>
  </si>
  <si>
    <t>Là chức năng cho phép nhân viên Sales thay đổi nhân sự (freelancer) đã được phân công trong một ca chụp. Các ca chụp đã hoàn thành sẽ được cố định nhân sự (không thể chỉnh sửa hay thao tác).</t>
  </si>
  <si>
    <t>2.3</t>
  </si>
  <si>
    <t>Giám sát và Thông báo</t>
  </si>
  <si>
    <t>2.3.1</t>
  </si>
  <si>
    <t>Xem tổng hợp lịch đăng ký ca</t>
  </si>
  <si>
    <t>Là chức năng dành cho chủ Quản lí Sales/ Chủ studio, cho phép hiển thị tổng hợp tất cả các lịch đăng ký ca làm việc của nhân viên trong một khoảng thời gian (1 tháng). Có thể chọn xem chi tiết ngày làm việc đó để theo dõi danh sách nhân viên đã đăng kí lịch theo 3 ca.</t>
  </si>
  <si>
    <t>2.3.2</t>
  </si>
  <si>
    <t xml:space="preserve">Xem tổng hợp lịch làm việc </t>
  </si>
  <si>
    <t>Là chức năng dành cho Quản lí Sales/ Chủ studio cho phép xem toàn bộ lịch làm việc đã được phân công chính thức của nhân viên.</t>
  </si>
  <si>
    <t>2.3.3</t>
  </si>
  <si>
    <t xml:space="preserve">Tìm kiếm </t>
  </si>
  <si>
    <t>Là chức năng dành cho Quản lí Sales/ Chủ studio tìm kiếm nhân viên, tên khách hàng, lịch đăng ký, ca làm việc theo từ khóa liên quan.</t>
  </si>
  <si>
    <t>2.3.4</t>
  </si>
  <si>
    <t>Lọc</t>
  </si>
  <si>
    <t>Là chức năng dành cho Quản lí Sales/ Chủ studio lọc lịch đăng ký ca làm việc theo bộ phận, ca làm việc.</t>
  </si>
  <si>
    <t>0.5</t>
  </si>
  <si>
    <t xml:space="preserve">Duyệt yêu cầu thay đổi </t>
  </si>
  <si>
    <t>Là chức năng cho phép Quản lý Sales xem danh sách các yêu cầu thay đổi ca làm việc của nhân viên và phê duyệt hoặc từ chối yêu cầu đó trong thời gian cho phép.</t>
  </si>
  <si>
    <t>3</t>
  </si>
  <si>
    <t>Quản lý đặt lịch</t>
  </si>
  <si>
    <t>3.1</t>
  </si>
  <si>
    <t>Xem gói dịch vụ</t>
  </si>
  <si>
    <t>Nguyễn Thị Thanh Hoài</t>
  </si>
  <si>
    <t>3.1.1</t>
  </si>
  <si>
    <t>Xem danh sách concept</t>
  </si>
  <si>
    <t>Là chức năng giúp khách hàng xem toàn bộ các gói dịch vụ chụp ảnh mà studio đang cung cấp.</t>
  </si>
  <si>
    <t>3.1.2</t>
  </si>
  <si>
    <t>Xem chi tiết concept</t>
  </si>
  <si>
    <t>Là chức năng giúp khách hàng xem thông tin chi tiết của một gói dịch vụ chụp ảnh, bao gồm giá, dịch vụ đi kèm và chính sách áp dụng.</t>
  </si>
  <si>
    <t>3.1.3</t>
  </si>
  <si>
    <t>Lọc và Tìm kiếm dịch vụ chụp</t>
  </si>
  <si>
    <t>Là chức năng giúp khách hàng tìm kiếm và lọc các gói dịch vụ theo tên, khoảng giá và concept.</t>
  </si>
  <si>
    <t>3.2</t>
  </si>
  <si>
    <t>Đặt lịch trực tuyến</t>
  </si>
  <si>
    <t xml:space="preserve">Nguyễn Thị Loan </t>
  </si>
  <si>
    <t>3.2.1</t>
  </si>
  <si>
    <t>Tạo đơn đặt lịch chụp</t>
  </si>
  <si>
    <t>Là chức năng giúp khách hàng tạo đơn đặt lịch chụp bằng cách chọn dịch vụ, thời gian và nhập các thông tin cần thiết.</t>
  </si>
  <si>
    <t>3.2.2</t>
  </si>
  <si>
    <t>Đặt cọc</t>
  </si>
  <si>
    <t>Là chức năng giúp khách hàng thanh toán một khoản tiền cọc để xác nhận giữ lịch chụp. Có tích hợp các phương thức thanh toán.
Điều kiện:
- Đơn đang ở trạng thái chờ thanh toán.
- Thực hiện trong vòng 30 phút kể từ khi khách xác nhận đặt lịch.</t>
  </si>
  <si>
    <t>3.3</t>
  </si>
  <si>
    <t>Quản lý đơn đặt và lịch hẹn</t>
  </si>
  <si>
    <t>Nguyễn Phương Ngân</t>
  </si>
  <si>
    <t>3.3.1</t>
  </si>
  <si>
    <t>Xem danh sách lịch sử đơn đặt</t>
  </si>
  <si>
    <t>Là chức năng giúp khách hàng xem danh sách các đơn đặt lịch cùng trạng thái hiện tại. (Đã xác nhận, Đã hoàn thành, Đã hủy).</t>
  </si>
  <si>
    <t>3.3.2</t>
  </si>
  <si>
    <t>Xem chi tiết lịch hẹn</t>
  </si>
  <si>
    <t>Là chức năng giúp khách hàng xem đầy đủ thông tin của một lịch chụp cụ thể như thông tin dịch vụ chụp, Thời gian, địa điểm, danh sách thợ phụ trách và các lưu ý chuẩn bị từ studio.</t>
  </si>
  <si>
    <t>3.3.3</t>
  </si>
  <si>
    <t>Yêu cầu huỷ lịch</t>
  </si>
  <si>
    <t>Là chức năng giúp khách hàng gửi yêu cầu huỷ lịch chụp đã đặt.
Điều kiện:
- Nếu lí do hi hữu (sức khỏe/ thời tiết) và có minh chứng thì sẽ được hỗ trợ bảo lưu/hoàn cọc
- Nếu là lí do cá nhân/lí do khác thì sẽ mất cọc</t>
  </si>
  <si>
    <t>3.3.4</t>
  </si>
  <si>
    <t>Thay đổi lịch chụp</t>
  </si>
  <si>
    <t>Là chức năng giúp khách hàng thay đổi thời gian chụp.
Có 2 trường hợp
- Trường hợp 1: Đổi lịch trước ngày chụp ít nhất 7 ngày trở lên, hệ thống cho phép chỉnh sửa nếu còn lịch trống.
- Trường hợp 2: Đổi lịch trong 1 tuần trước khi chụp ảnh: Nếu còn lịch trống, Khách hàng sẽ được chỉnh sửa lịch đặt và phải thanh toán thêm số tiền đổi lịch chụp (theo phí đổi lịch đã được Studio thiết lập).</t>
  </si>
  <si>
    <t>3.4</t>
  </si>
  <si>
    <t>Thiết lập phí đổi lịch</t>
  </si>
  <si>
    <t xml:space="preserve"> Nguyễn Phương Ngân</t>
  </si>
  <si>
    <t>Là chức năng cho phép Bộ phận Sales cấu hình mức phí áp dụng khi khách hàng yêu cầu đổi lịch chụp.
Hệ thống hỗ trợ 2 cách tính phí linh hoạt tùy theo nhu cầu:
- Theo phần trăm (%) giá trị concept mà khách hàng đã đặt.
- Theo số tiền cố định: Studio nhập trực tiếp một số tiền cụ thể làm phí đổi lịch.</t>
  </si>
  <si>
    <t>4</t>
  </si>
  <si>
    <t>Quản lý thông tin khách hàng</t>
  </si>
  <si>
    <t>4.1</t>
  </si>
  <si>
    <t>Quản lý hồ sơ cá nhân</t>
  </si>
  <si>
    <t>4.1.1</t>
  </si>
  <si>
    <t>Xem danh sách khách hàng</t>
  </si>
  <si>
    <t>Là chức năng giúp nhân viên Sales và chủ studio xem danh sách các khách hàng của studio và các thông tin tổng quan của khách hàng.</t>
  </si>
  <si>
    <t>4.1.2</t>
  </si>
  <si>
    <t>Xem hồ sơ khách hàng</t>
  </si>
  <si>
    <t>Là chức năng giúp nhân viên Sales và chủ Studio xem thông tin cá nhân chi tiết như tên, số điện thoại, email., hạng, địa chỉ, sở thích khách hàng</t>
  </si>
  <si>
    <t>4.1.3</t>
  </si>
  <si>
    <t>Cập nhật thông tin cá nhân khách hàng</t>
  </si>
  <si>
    <t>Là chức năng giúp nhân viên Sales cập nhật thông tin cá nhân  như tên, số điện thoại, email, địa chỉ,...</t>
  </si>
  <si>
    <t>4.1.4</t>
  </si>
  <si>
    <t>Quản lý sở thích khách hàng</t>
  </si>
  <si>
    <t>Là chức năng giúp nhân viên Sales cập nhật sở thích khách hàng, phục vụ cho hỗ trợ tư vấn khách hàng tốt hơn vào những lần đặt lịch sau</t>
  </si>
  <si>
    <t>4.2</t>
  </si>
  <si>
    <t>Tìm kiếm, phân loại và lọc khách hàng</t>
  </si>
  <si>
    <t>4.2.1</t>
  </si>
  <si>
    <t>Tìm kiếm khách hàng</t>
  </si>
  <si>
    <t>Là chức năng giúp Studio (Bộ phận Sales và chủ Studio) tìm kiếm khách hàng trong hệ thống nhằm phục vụ cho việc quản lý và chăm sóc khách hàng. Tiêu chỉ tìm kiếm: Tên khách, SĐT, Email, Mã khách.</t>
  </si>
  <si>
    <t>4.2.2</t>
  </si>
  <si>
    <t>Lọc khách hàng</t>
  </si>
  <si>
    <t>Là chức năng giúp Studio lọc danh sách khách hàng trong hệ thống nhằm phục vụ cho việc quản lý và chăm sóc khách hàng. Tiêu chí lọc: Hạng khách hàng.</t>
  </si>
  <si>
    <t>4.2.3</t>
  </si>
  <si>
    <t>Phân loại khách hàng</t>
  </si>
  <si>
    <t>Là chức năng giúp Studio phân loại khách hàng theo mức độ sử dụng dịch vụ, gồm 3 hạng: Mới, Thân thiết, VIP</t>
  </si>
  <si>
    <t>5</t>
  </si>
  <si>
    <t xml:space="preserve">Quản lý kho </t>
  </si>
  <si>
    <t>5.1</t>
  </si>
  <si>
    <t>Quản lý danh sách vật tư</t>
  </si>
  <si>
    <t>Nguyễn Thị Loan</t>
  </si>
  <si>
    <t>5.1.1</t>
  </si>
  <si>
    <t>Tạo mới vật tư</t>
  </si>
  <si>
    <t>Là chức năng giúp nhân viên kho/quản lý kho thêm mới vật tư vào hệ thống.</t>
  </si>
  <si>
    <t>5.1.2</t>
  </si>
  <si>
    <t>Xem danh sách vật tư</t>
  </si>
  <si>
    <t>Là chức năng giúp bộ phận kho/chủ Studio xem danh sách tất cả vật tư .</t>
  </si>
  <si>
    <t>5.1.3</t>
  </si>
  <si>
    <t>Xem chi tiết vật tư</t>
  </si>
  <si>
    <t>Là chức năng giúp nhân viên kho/chủ studio xem chi tiết từng vật tư</t>
  </si>
  <si>
    <t>5.1.4</t>
  </si>
  <si>
    <t>Sửa thông tin vật tư</t>
  </si>
  <si>
    <t>Là chức năng giúp nhân viên kho/quản lý kho cập nhật thông tin vật tư.</t>
  </si>
  <si>
    <t>5.1.5</t>
  </si>
  <si>
    <t>Ngừng hoạt động vật tư</t>
  </si>
  <si>
    <t>Là chức năng giúp nhân viên kho/quản lý kho ngưng hoạt động vật tư khi không còn sử dụng đến hoặc hết vật tư.</t>
  </si>
  <si>
    <t>5.1.6</t>
  </si>
  <si>
    <t xml:space="preserve"> Khôi phục lại vật tư</t>
  </si>
  <si>
    <t>Là chức năng giúp nhân viên kho khôi phục lại vật tư đã ngưng hoạt động.</t>
  </si>
  <si>
    <t>5.1.7</t>
  </si>
  <si>
    <t>Lọc vật tư</t>
  </si>
  <si>
    <t>Là chức năng giúp bộ phận kho/ Studio lọc vật tư theo danh mục, concept và trạng thái.</t>
  </si>
  <si>
    <t>5.1.8</t>
  </si>
  <si>
    <t>Tìm kiếm vật tư</t>
  </si>
  <si>
    <t>Là chức năng giúp bộ phận kho/ Studio tìm kiếm vật tư theo tên/mã/danh mục/concept.</t>
  </si>
  <si>
    <t>5.2</t>
  </si>
  <si>
    <t>Theo dõi và vận hành kho</t>
  </si>
  <si>
    <t>5.2.1</t>
  </si>
  <si>
    <t xml:space="preserve">Theo dõi trạng thái </t>
  </si>
  <si>
    <t xml:space="preserve">Là chức năng giúp bộ phận kho theo dõi được trạng thái của bộ trang phục. Lọc theo ngày để xem trạng thái của trang phục theo ngày. Nếu một trang phục đã được đặt, thì khi lọc để xem ngày đó sẽ hiện trạng thái "Đã đặt", tới ngày chụp hệ thống sẽ tự động chuyển trạng thái từ "Đã đặt" thành "Trong ca chụp". Nhân viên kho có thể cập nhật trạng thái của trang phục, trừu khi trang phục đang ở trạng thái "Trong ca chụp"
</t>
  </si>
  <si>
    <t>5.2.2</t>
  </si>
  <si>
    <t>Cập nhật concept</t>
  </si>
  <si>
    <t>Là chức năng giúp nhân viên kho/quản lý kho tạo thêm concept mới, thêm vật tư mới vào concept và chỉnh sửa thông tin concept</t>
  </si>
  <si>
    <t>Đang chờ triển khai</t>
  </si>
  <si>
    <t>5.3.</t>
  </si>
  <si>
    <t>Quản lý nhập kho</t>
  </si>
  <si>
    <t>5.3.1</t>
  </si>
  <si>
    <t>Tạo phiếu nhập kho</t>
  </si>
  <si>
    <t>Là chức năng giúp bộ phận kho tạo phiếu nhập khi bổ sung thêm vật tư hoặc trang phục vào kho. Thông tin bao gồm: tên vật tư, số lượng, concept, ngày nhập và ghi chú.</t>
  </si>
  <si>
    <t>5.3.2</t>
  </si>
  <si>
    <t>Xem lịch sử nhập kho</t>
  </si>
  <si>
    <t>Là chức năng giúp bộ phận kho và chủ Studio theo dõi toàn bộ lịch sử nhập vật tư trong hệ thống.</t>
  </si>
  <si>
    <t>5.3.3</t>
  </si>
  <si>
    <t>Cập nhật / chỉnh sửa phiếu nhập</t>
  </si>
  <si>
    <t>Là chức năng giúp bộ phận kho chỉnh sửa thông tin phiếu nhập trong trường hợp nhập sai thông tin hoặc cần bổ sung dữ liệu.</t>
  </si>
  <si>
    <t>5.4</t>
  </si>
  <si>
    <t>Quản lý xuất kho</t>
  </si>
  <si>
    <t>5.4.1</t>
  </si>
  <si>
    <t>Tạo phiếu xuất kho</t>
  </si>
  <si>
    <t>Là chức năng giúp nhân viên kho ghi nhận việc xuất vật tư hoặc trang phục để phục vụ cho buổi chụp ảnh.</t>
  </si>
  <si>
    <t>5.4.2</t>
  </si>
  <si>
    <t>Cập nhật / chỉnh sửa phiếu xuất</t>
  </si>
  <si>
    <t>Là chức năng giúp nhân viên kho cập nhật hoặc chỉnh sửa thông tin phiếu xuất trong trường hợp nhập sai thông tin.</t>
  </si>
  <si>
    <t>5.4.3</t>
  </si>
  <si>
    <t>Xem lịch sử xuất kho</t>
  </si>
  <si>
    <t>Là chức năng giúp bộ phận kho và chủ Studio theo dõi lịch sử xuất vật tư để phục vụ các buổi chụp.</t>
  </si>
  <si>
    <t>5.5</t>
  </si>
  <si>
    <t>Kiểm kê kho</t>
  </si>
  <si>
    <t>5.5.1</t>
  </si>
  <si>
    <t>Tạo phiếu kiểm kê</t>
  </si>
  <si>
    <t>Là chức năng giúp nhân viên kho tạo phiếu kiểm kê để ghi nhận số lượng vật tư thực tế trong kho.</t>
  </si>
  <si>
    <t>5.5.2</t>
  </si>
  <si>
    <t>Xem phiếu kiểm kê</t>
  </si>
  <si>
    <t>Là chức năng giúp bộ phận kho xem thông tin phiếu kiểm kê.</t>
  </si>
  <si>
    <t>5.5.3</t>
  </si>
  <si>
    <t>Cập nhật phiếu kiểm kê</t>
  </si>
  <si>
    <t>Là chức năng giúp nhân viên kho chỉnh sửa thông tin phiếu kiểm kê khi có sai sót.</t>
  </si>
  <si>
    <t>5.6</t>
  </si>
  <si>
    <t>Cảnh báo tồn kho</t>
  </si>
  <si>
    <t>Là chức năng cho phép quản lý thiết lập số lượng tối thiểu của từng vật tư</t>
  </si>
  <si>
    <t>6</t>
  </si>
  <si>
    <t>Quản lý dịch vụ</t>
  </si>
  <si>
    <t>6.1</t>
  </si>
  <si>
    <t>Quản lý gói chụp</t>
  </si>
  <si>
    <t>6.1.1</t>
  </si>
  <si>
    <t>Xem danh sách gói chụp</t>
  </si>
  <si>
    <t>Là chức năng giúp Studio xem danh sách các gói chụp hiện có.</t>
  </si>
  <si>
    <t>6.1.2</t>
  </si>
  <si>
    <t>Xem chi tiết gói chụp</t>
  </si>
  <si>
    <t>Là chức năng giúp Studio xem thông tin chi tiết của từng gói chụp (giá, nội dung, thời lượng, ưu đãi…).</t>
  </si>
  <si>
    <t>6.1.3</t>
  </si>
  <si>
    <t>Thêm gói chụp</t>
  </si>
  <si>
    <t>Là chức năng giúp chủ Studio/quản lý Sales tạo mới gói chụp vào hệ thống.</t>
  </si>
  <si>
    <t>6.1.4</t>
  </si>
  <si>
    <t>Chỉnh sửa gói chụp</t>
  </si>
  <si>
    <t>Là chức năng giúp chủ Studio/quản lý Sales cập nhật thông tin gói chụp khi có thay đổi.</t>
  </si>
  <si>
    <t>6.1.5</t>
  </si>
  <si>
    <t>Xoá gói chụp</t>
  </si>
  <si>
    <t>Là chức năng giúp chủ Studio xoá gói chụp khỏi hệ thống.</t>
  </si>
  <si>
    <t>6.1.6</t>
  </si>
  <si>
    <t>Tìm kiếm và lọc gói chụp</t>
  </si>
  <si>
    <t>Là chức năng giúp Studio tìm kiếm gói chụp theo tên, giá hoặc loại dịch vụ.</t>
  </si>
  <si>
    <t>6.2</t>
  </si>
  <si>
    <t>Đánh giá dịch vụ</t>
  </si>
  <si>
    <t>6.2.1</t>
  </si>
  <si>
    <t>Gửi đánh giá dịch vụ</t>
  </si>
  <si>
    <t>Là chức năng giúp khách hàng gửi đánh giá và nhận xét về gói chụp sau khi đã sử dụng dịch vụ. Điều kiện: khách hàng đã hoàn tất buổi chụp.</t>
  </si>
  <si>
    <t>6.2.2</t>
  </si>
  <si>
    <t>Xem đánh giá dịch vụ</t>
  </si>
  <si>
    <t>Là chức năng giúp bộ phận Sales/chủ studio xem các đánh giá và nhận xét về gói chụp của khách hàng.</t>
  </si>
  <si>
    <t>7</t>
  </si>
  <si>
    <t>Quản lý thanh toán</t>
  </si>
  <si>
    <t>Đinh Thị Quỳnh Anh</t>
  </si>
  <si>
    <t>7.1</t>
  </si>
  <si>
    <t>Quản lý hoá đơn</t>
  </si>
  <si>
    <t>7.1.1</t>
  </si>
  <si>
    <t>Xuất hoá đơn điện tử</t>
  </si>
  <si>
    <t>Là chức năng giúp chủ Studio/bộ phận Sales tạo và xuất hoá đơn điện tử cho khách hàng. Điều kiện: đơn hàng đã được thanh toán.</t>
  </si>
  <si>
    <t>7.1.2</t>
  </si>
  <si>
    <t>Xem danh sách các hoá đơn</t>
  </si>
  <si>
    <t>Là chức năng giúp chủ Studio/bộ phận Sales xem danh sách các hoá đơn của khách hàng.</t>
  </si>
  <si>
    <t>7.1.3</t>
  </si>
  <si>
    <t>Xem chi tiết hoá đơn</t>
  </si>
  <si>
    <t>Là chức năng giúp chủ Studio/bộ phận Sales xem thông tin chi tiết của từng hoá đơn của khách hàng.</t>
  </si>
  <si>
    <t>7.1.4</t>
  </si>
  <si>
    <t>Tìm kiếm và lọc hoá đơn</t>
  </si>
  <si>
    <t>Là chức năng giúp chủ Studio/bộ phận Sales tìm kiếm hoá đơn theo mã, khách hàng hoặc thời gian.</t>
  </si>
  <si>
    <t>7.2</t>
  </si>
  <si>
    <t>Thanh toán hoá đơn</t>
  </si>
  <si>
    <t>Là chức năng giúp khách hàng thực hiện thanh toán cho hoá đơn đã được tạo trong hệ thống. Điều kiện: hoá đơn chưa được thanh toán.</t>
  </si>
  <si>
    <t>8</t>
  </si>
  <si>
    <t>Quản lý khuyến mãi</t>
  </si>
  <si>
    <t>Lê Thị Thùy Linh</t>
  </si>
  <si>
    <t>8.1</t>
  </si>
  <si>
    <t>Xem khuyến mãi</t>
  </si>
  <si>
    <t>8.1.1</t>
  </si>
  <si>
    <t>Xem danh sách khuyến mãi</t>
  </si>
  <si>
    <t>Là chức năng giúp chủ Studio/quản lý Sales/nhân viên Sales xem danh sách các chương trình khuyến mãi và thời gian diễn ra khuyến mãi.</t>
  </si>
  <si>
    <t>8.1.2</t>
  </si>
  <si>
    <t>Xem chi tiết khuyến mãi</t>
  </si>
  <si>
    <t>Là chức năng giúp chủ Studio/quản lý Sales/nhân viên Sales xem thông tin chi tiết của khuyến mãi.</t>
  </si>
  <si>
    <t>8.1.3</t>
  </si>
  <si>
    <t>Tìm kiếm và lọc khuyến mãi</t>
  </si>
  <si>
    <t>Là chức năng giúp chủ Studio/quản lý Sales/nhân viên Sales tìm kiếm khuyến mãi theo tên hoặc thời gian.</t>
  </si>
  <si>
    <t>8.2</t>
  </si>
  <si>
    <t>Cập nhật khuyến mãi</t>
  </si>
  <si>
    <t>8.2.1</t>
  </si>
  <si>
    <t>Thêm khuyến mãi</t>
  </si>
  <si>
    <t xml:space="preserve">Là chức năng giúp chủ Studio/quản lý Sales tạo mới khuyến mãi. </t>
  </si>
  <si>
    <t>8.2.2</t>
  </si>
  <si>
    <t>Chỉnh sửa khuyến mãi</t>
  </si>
  <si>
    <t>Là chức năng giúp chủ Studio/quản lý Sales cập nhật nội dung khuyến mãi.</t>
  </si>
  <si>
    <t>8.2.3</t>
  </si>
  <si>
    <t>Xoá khuyến mãi</t>
  </si>
  <si>
    <t>Là chức năng giúp chủ Studio xoá khuyến mãi. Điều kiện: khuyến mãi chưa áp dụng.</t>
  </si>
  <si>
    <t>9</t>
  </si>
  <si>
    <t>Thống kê và báo cáo</t>
  </si>
  <si>
    <t>9.1</t>
  </si>
  <si>
    <t>Xem báo cáo doanh thu</t>
  </si>
  <si>
    <t>Là chức năng giúp chủ Studio xem doanh thu theo chi nhánh, gói dịch vụ, chương trình khuyến mãi hoặc thời gian.</t>
  </si>
  <si>
    <t>9.2</t>
  </si>
  <si>
    <t>Xem báo cáo nhân viên</t>
  </si>
  <si>
    <t>Là chức năng giúp chủ Studio/quản lý Makeup/quản lý chụp ảnh/quản lý kho theo dõi hiệu suất làm việc của nhân viên thuộc bộ phận mình.</t>
  </si>
  <si>
    <t>9.3</t>
  </si>
  <si>
    <t>Xem báo cáo gói dịch vụ</t>
  </si>
  <si>
    <t>Là chức năng giúp chủ Studio/quản lý Sales thống kê mức độ sử dụng các gói chụp.</t>
  </si>
  <si>
    <t>9.4</t>
  </si>
  <si>
    <t>Lọc và tìm kiếm dữ liệu</t>
  </si>
  <si>
    <t>Là chức năng giúp chủ Studio/quản lý các bộ phận lọc dữ liệu báo cáo theo thời gian hoặc dịch vụ.</t>
  </si>
  <si>
    <t>10</t>
  </si>
  <si>
    <t>Quản lý đa chi nhánh</t>
  </si>
  <si>
    <t>10.1</t>
  </si>
  <si>
    <t>Quản lý chi nhánh</t>
  </si>
  <si>
    <t>10.1.1</t>
  </si>
  <si>
    <t>Thêm chi nhánh</t>
  </si>
  <si>
    <t>Là chức năng giúp chủ Studio thêm mới chi nhánh.</t>
  </si>
  <si>
    <t>10.1.2</t>
  </si>
  <si>
    <t>Chỉnh sửa chi nhánh</t>
  </si>
  <si>
    <t>Là chức năng giúp chủ Studio cập nhật thông tin chi nhánh.</t>
  </si>
  <si>
    <t>10.1.3</t>
  </si>
  <si>
    <t>Xoá chi nhánh</t>
  </si>
  <si>
    <t>Là chức năng giúp chủ Studio xoá chi nhánh. Điều kiện: chi nhánh không còn hoạt động.</t>
  </si>
  <si>
    <t>10.2</t>
  </si>
  <si>
    <t>Xem chi nhánh</t>
  </si>
  <si>
    <t>10.2.1</t>
  </si>
  <si>
    <t>Xem danh sách chi nhánh</t>
  </si>
  <si>
    <t>Là chức năng giúp chủ Studio/quản lý các bộ phận xem danh sách chi nhánh.</t>
  </si>
  <si>
    <t>10.2.2</t>
  </si>
  <si>
    <t>Xem chi tiết chi nhánh</t>
  </si>
  <si>
    <t>Là chức năng giúp chủ Studio/quản lý các bộ phận xem thông tin chi tiết từng chi nhánh.</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</si>
</sst>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rgb="FFFFFFFF"/>
      <name val="Times New Roman"/>
    </font>
    <font>
      <color theme="1"/>
      <name val="Arial"/>
    </font>
    <font>
      <b/>
      <sz val="13.0"/>
      <color rgb="FF000000"/>
      <name val="Times New Roman"/>
    </font>
    <font>
      <sz val="13.0"/>
      <color rgb="FF000000"/>
      <name val="Times New Roman"/>
    </font>
    <font>
      <sz val="13.0"/>
      <color rgb="FFFFFFFF"/>
      <name val="Times New Roman"/>
    </font>
    <font>
      <u/>
      <sz val="13.0"/>
      <color rgb="FF000000"/>
      <name val="Times New Roman"/>
    </font>
    <font>
      <u/>
      <sz val="13.0"/>
      <color rgb="FF000000"/>
      <name val="Times New Roman"/>
    </font>
    <font>
      <u/>
      <sz val="13.0"/>
      <color rgb="FF000000"/>
      <name val="Times New Roman"/>
    </font>
    <font>
      <u/>
      <sz val="13.0"/>
      <color rgb="FF000000"/>
      <name val="Times New Roman"/>
    </font>
    <font>
      <b/>
      <u/>
      <sz val="13.0"/>
      <color rgb="FF000000"/>
      <name val="Times New Roman"/>
    </font>
    <font>
      <b/>
      <color theme="1"/>
      <name val="Arial"/>
    </font>
    <font>
      <b/>
      <u/>
      <sz val="13.0"/>
      <color rgb="FF000000"/>
      <name val="Times New Roman"/>
    </font>
    <font>
      <sz val="10.0"/>
      <color rgb="FF000000"/>
      <name val="Arial"/>
    </font>
    <font>
      <sz val="10.0"/>
      <color theme="1"/>
      <name val="Arial"/>
    </font>
  </fonts>
  <fills count="7">
    <fill>
      <patternFill patternType="none"/>
    </fill>
    <fill>
      <patternFill patternType="lightGray"/>
    </fill>
    <fill>
      <patternFill patternType="solid">
        <fgColor rgb="FFFFF2CC"/>
        <bgColor rgb="FFFFF2CC"/>
      </patternFill>
    </fill>
    <fill>
      <patternFill patternType="solid">
        <fgColor rgb="FFF6F8F9"/>
        <bgColor rgb="FFF6F8F9"/>
      </patternFill>
    </fill>
    <fill>
      <patternFill patternType="solid">
        <fgColor rgb="FFD9EAD3"/>
        <bgColor rgb="FFD9EAD3"/>
      </patternFill>
    </fill>
    <fill>
      <patternFill patternType="solid">
        <fgColor theme="0"/>
        <bgColor theme="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0" fontId="1" numFmtId="49" xfId="0" applyAlignment="1" applyBorder="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horizontal="center" vertical="center"/>
    </xf>
    <xf borderId="1" fillId="2" fontId="3" numFmtId="49" xfId="0" applyAlignment="1" applyBorder="1" applyFill="1" applyFont="1" applyNumberFormat="1">
      <alignment horizontal="center" shrinkToFit="0" vertical="center" wrapText="1"/>
    </xf>
    <xf borderId="1" fillId="2" fontId="3" numFmtId="0" xfId="0" applyAlignment="1" applyBorder="1" applyFont="1">
      <alignment shrinkToFit="0" vertical="center" wrapText="1"/>
    </xf>
    <xf borderId="1" fillId="2" fontId="4" numFmtId="0" xfId="0" applyAlignment="1" applyBorder="1" applyFont="1">
      <alignment horizontal="center" shrinkToFit="0" vertical="center" wrapText="1"/>
    </xf>
    <xf borderId="1" fillId="2" fontId="4" numFmtId="0" xfId="0" applyAlignment="1" applyBorder="1" applyFont="1">
      <alignment shrinkToFit="0" vertical="center" wrapText="1"/>
    </xf>
    <xf borderId="1" fillId="2" fontId="3" numFmtId="0" xfId="0" applyAlignment="1" applyBorder="1" applyFont="1">
      <alignment horizontal="center" shrinkToFit="0" vertical="center" wrapText="1"/>
    </xf>
    <xf borderId="1" fillId="2" fontId="5" numFmtId="0" xfId="0" applyAlignment="1" applyBorder="1" applyFont="1">
      <alignment shrinkToFit="0" vertical="center" wrapText="1"/>
    </xf>
    <xf borderId="0" fillId="0" fontId="2" numFmtId="0" xfId="0" applyAlignment="1" applyFont="1">
      <alignment vertical="center"/>
    </xf>
    <xf borderId="1" fillId="3" fontId="3" numFmtId="49" xfId="0" applyAlignment="1" applyBorder="1" applyFill="1" applyFont="1" applyNumberFormat="1">
      <alignment horizontal="center" shrinkToFit="0" vertical="center" wrapText="1"/>
    </xf>
    <xf borderId="1" fillId="4" fontId="3" numFmtId="0" xfId="0" applyAlignment="1" applyBorder="1" applyFill="1" applyFont="1">
      <alignment shrinkToFit="0" vertical="center" wrapText="1"/>
    </xf>
    <xf borderId="1" fillId="4" fontId="4" numFmtId="0" xfId="0" applyAlignment="1" applyBorder="1" applyFont="1">
      <alignment shrinkToFit="0" vertical="center" wrapText="1"/>
    </xf>
    <xf borderId="1" fillId="4" fontId="6" numFmtId="0" xfId="0" applyAlignment="1" applyBorder="1" applyFont="1">
      <alignment shrinkToFit="0" vertical="center" wrapText="1"/>
    </xf>
    <xf borderId="1" fillId="4" fontId="3" numFmtId="0" xfId="0" applyAlignment="1" applyBorder="1" applyFont="1">
      <alignment horizontal="center" shrinkToFit="0" vertical="center" wrapText="1"/>
    </xf>
    <xf borderId="1" fillId="5" fontId="4" numFmtId="49" xfId="0" applyAlignment="1" applyBorder="1" applyFill="1" applyFont="1" applyNumberFormat="1">
      <alignment horizontal="center" shrinkToFit="0" vertical="center" wrapText="1"/>
    </xf>
    <xf borderId="1" fillId="5" fontId="4" numFmtId="0" xfId="0" applyAlignment="1" applyBorder="1" applyFont="1">
      <alignment shrinkToFit="0" vertical="center" wrapText="1"/>
    </xf>
    <xf borderId="1" fillId="5" fontId="4" numFmtId="0" xfId="0" applyAlignment="1" applyBorder="1" applyFont="1">
      <alignment horizontal="center" shrinkToFit="0" vertical="center" wrapText="1"/>
    </xf>
    <xf borderId="1" fillId="5" fontId="7" numFmtId="0" xfId="0" applyAlignment="1" applyBorder="1" applyFont="1">
      <alignment shrinkToFit="0" vertical="center" wrapText="1"/>
    </xf>
    <xf borderId="0" fillId="5" fontId="2" numFmtId="0" xfId="0" applyAlignment="1" applyFont="1">
      <alignment vertical="center"/>
    </xf>
    <xf borderId="1" fillId="5" fontId="8" numFmtId="0" xfId="0" applyAlignment="1" applyBorder="1" applyFont="1">
      <alignment horizontal="left" shrinkToFit="0" vertical="center" wrapText="1"/>
    </xf>
    <xf borderId="1" fillId="4" fontId="4" numFmtId="0" xfId="0" applyAlignment="1" applyBorder="1" applyFont="1">
      <alignment horizontal="center" shrinkToFit="0" vertical="center" wrapText="1"/>
    </xf>
    <xf borderId="1" fillId="2" fontId="4" numFmtId="49" xfId="0" applyAlignment="1" applyBorder="1" applyFont="1" applyNumberFormat="1">
      <alignment horizontal="center" shrinkToFit="0" vertical="center" wrapText="1"/>
    </xf>
    <xf borderId="1" fillId="2" fontId="9" numFmtId="0" xfId="0" applyAlignment="1" applyBorder="1" applyFont="1">
      <alignment shrinkToFit="0" vertical="center" wrapText="1"/>
    </xf>
    <xf borderId="1" fillId="0" fontId="3" numFmtId="49"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1" fillId="0" fontId="4" numFmtId="49" xfId="0" applyAlignment="1" applyBorder="1" applyFont="1" applyNumberFormat="1">
      <alignment horizontal="center" shrinkToFit="0" vertical="center" wrapText="1"/>
    </xf>
    <xf borderId="1" fillId="4" fontId="10" numFmtId="0" xfId="0" applyAlignment="1" applyBorder="1" applyFont="1">
      <alignment shrinkToFit="0" vertical="center" wrapText="1"/>
    </xf>
    <xf borderId="0" fillId="0" fontId="11" numFmtId="0" xfId="0" applyAlignment="1" applyFont="1">
      <alignment vertical="center"/>
    </xf>
    <xf borderId="1" fillId="6" fontId="3" numFmtId="49" xfId="0" applyAlignment="1" applyBorder="1" applyFill="1" applyFont="1" applyNumberFormat="1">
      <alignment horizontal="center" shrinkToFit="0" vertical="center" wrapText="1"/>
    </xf>
    <xf borderId="1" fillId="5" fontId="3" numFmtId="0" xfId="0" applyAlignment="1" applyBorder="1" applyFont="1">
      <alignment shrinkToFit="0" vertical="center" wrapText="1"/>
    </xf>
    <xf borderId="1" fillId="5" fontId="3" numFmtId="0" xfId="0" applyAlignment="1" applyBorder="1" applyFont="1">
      <alignment horizontal="center" shrinkToFit="0" vertical="center" wrapText="1"/>
    </xf>
    <xf borderId="1" fillId="5" fontId="12" numFmtId="0" xfId="0" applyAlignment="1" applyBorder="1" applyFont="1">
      <alignment shrinkToFit="0" vertical="center" wrapText="1"/>
    </xf>
    <xf borderId="0" fillId="0" fontId="13" numFmtId="49" xfId="0" applyAlignment="1" applyFont="1" applyNumberFormat="1">
      <alignment horizontal="center" vertical="center"/>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14" numFmtId="49" xfId="0" applyAlignment="1" applyFont="1" applyNumberFormat="1">
      <alignment horizontal="center" vertical="center"/>
    </xf>
    <xf borderId="0" fillId="0" fontId="2" numFmtId="49" xfId="0" applyAlignment="1" applyFont="1" applyNumberForma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WB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21" displayName="NHOM04" name="NHOM04" id="1">
  <tableColumns count="8">
    <tableColumn name="STT" id="1"/>
    <tableColumn name="Chức năng" id="2"/>
    <tableColumn name="Nhân sự phụ trách" id="3"/>
    <tableColumn name="Form" id="4"/>
    <tableColumn name="Mô tả" id="5"/>
    <tableColumn name="Thời gian (MDs)" id="6"/>
    <tableColumn name="Trạng thái" id="7"/>
    <tableColumn name="Ghi chú" id="8"/>
  </tableColumns>
  <tableStyleInfo name="WB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63"/>
    <col customWidth="1" min="2" max="2" width="29.88"/>
    <col customWidth="1" min="3" max="3" width="24.25"/>
    <col customWidth="1" min="4" max="4" width="16.5"/>
    <col customWidth="1" min="5" max="5" width="51.88"/>
    <col customWidth="1" hidden="1" min="6" max="6" width="21.38"/>
    <col customWidth="1" hidden="1" min="7" max="7" width="18.0"/>
    <col customWidth="1" hidden="1" min="8" max="8" width="15.75"/>
  </cols>
  <sheetData>
    <row r="1" ht="15.75" customHeight="1">
      <c r="A1" s="1" t="s">
        <v>0</v>
      </c>
      <c r="B1" s="2" t="s">
        <v>1</v>
      </c>
      <c r="C1" s="2" t="s">
        <v>2</v>
      </c>
      <c r="D1" s="2" t="s">
        <v>3</v>
      </c>
      <c r="E1" s="2" t="s">
        <v>4</v>
      </c>
      <c r="F1" s="2" t="s">
        <v>5</v>
      </c>
      <c r="G1" s="2" t="s">
        <v>6</v>
      </c>
      <c r="H1" s="2" t="s">
        <v>7</v>
      </c>
      <c r="I1" s="3"/>
      <c r="J1" s="3"/>
      <c r="K1" s="3"/>
      <c r="L1" s="3"/>
      <c r="M1" s="3"/>
      <c r="N1" s="3"/>
      <c r="O1" s="3"/>
      <c r="P1" s="3"/>
      <c r="Q1" s="3"/>
      <c r="R1" s="3"/>
      <c r="S1" s="3"/>
      <c r="T1" s="3"/>
      <c r="U1" s="3"/>
      <c r="V1" s="3"/>
      <c r="W1" s="3"/>
      <c r="X1" s="3"/>
      <c r="Y1" s="3"/>
      <c r="Z1" s="3"/>
    </row>
    <row r="2" ht="39.75" customHeight="1">
      <c r="A2" s="4" t="s">
        <v>8</v>
      </c>
      <c r="B2" s="5" t="s">
        <v>9</v>
      </c>
      <c r="C2" s="6"/>
      <c r="D2" s="7"/>
      <c r="E2" s="7"/>
      <c r="F2" s="8"/>
      <c r="G2" s="7" t="s">
        <v>10</v>
      </c>
      <c r="H2" s="9"/>
      <c r="I2" s="10"/>
      <c r="J2" s="10"/>
      <c r="K2" s="10"/>
      <c r="L2" s="10"/>
      <c r="M2" s="10"/>
      <c r="N2" s="10"/>
      <c r="O2" s="10"/>
      <c r="P2" s="10"/>
      <c r="Q2" s="10"/>
      <c r="R2" s="10"/>
      <c r="S2" s="10"/>
      <c r="T2" s="10"/>
      <c r="U2" s="10"/>
      <c r="V2" s="10"/>
      <c r="W2" s="10"/>
      <c r="X2" s="10"/>
      <c r="Y2" s="10"/>
      <c r="Z2" s="10"/>
    </row>
    <row r="3" ht="42.75" customHeight="1">
      <c r="A3" s="11" t="s">
        <v>11</v>
      </c>
      <c r="B3" s="12" t="s">
        <v>12</v>
      </c>
      <c r="C3" s="13" t="s">
        <v>13</v>
      </c>
      <c r="D3" s="13"/>
      <c r="E3" s="14"/>
      <c r="F3" s="15">
        <f>sum(F4:F8)</f>
        <v>2.5</v>
      </c>
      <c r="G3" s="13" t="s">
        <v>10</v>
      </c>
      <c r="H3" s="14"/>
      <c r="I3" s="10"/>
      <c r="J3" s="10"/>
      <c r="K3" s="10"/>
      <c r="L3" s="10"/>
      <c r="M3" s="10"/>
      <c r="N3" s="10"/>
      <c r="O3" s="10"/>
      <c r="P3" s="10"/>
      <c r="Q3" s="10"/>
      <c r="R3" s="10"/>
      <c r="S3" s="10"/>
      <c r="T3" s="10"/>
      <c r="U3" s="10"/>
      <c r="V3" s="10"/>
      <c r="W3" s="10"/>
      <c r="X3" s="10"/>
      <c r="Y3" s="10"/>
      <c r="Z3" s="10"/>
    </row>
    <row r="4" ht="73.5" customHeight="1">
      <c r="A4" s="16" t="s">
        <v>14</v>
      </c>
      <c r="B4" s="17" t="s">
        <v>15</v>
      </c>
      <c r="C4" s="18"/>
      <c r="D4" s="17"/>
      <c r="E4" s="17" t="s">
        <v>16</v>
      </c>
      <c r="F4" s="18">
        <v>0.5</v>
      </c>
      <c r="G4" s="17" t="s">
        <v>10</v>
      </c>
      <c r="H4" s="19"/>
      <c r="I4" s="20"/>
      <c r="J4" s="20"/>
      <c r="K4" s="20"/>
      <c r="L4" s="20"/>
      <c r="M4" s="20"/>
      <c r="N4" s="20"/>
      <c r="O4" s="20"/>
      <c r="P4" s="20"/>
      <c r="Q4" s="20"/>
      <c r="R4" s="20"/>
      <c r="S4" s="20"/>
      <c r="T4" s="20"/>
      <c r="U4" s="20"/>
      <c r="V4" s="20"/>
      <c r="W4" s="20"/>
      <c r="X4" s="20"/>
      <c r="Y4" s="20"/>
      <c r="Z4" s="20"/>
    </row>
    <row r="5" ht="88.5" customHeight="1">
      <c r="A5" s="16" t="s">
        <v>17</v>
      </c>
      <c r="B5" s="17" t="s">
        <v>18</v>
      </c>
      <c r="C5" s="18"/>
      <c r="D5" s="17"/>
      <c r="E5" s="17" t="s">
        <v>19</v>
      </c>
      <c r="F5" s="18">
        <v>0.5</v>
      </c>
      <c r="G5" s="17" t="s">
        <v>10</v>
      </c>
      <c r="H5" s="19"/>
      <c r="I5" s="20"/>
      <c r="J5" s="20"/>
      <c r="K5" s="20"/>
      <c r="L5" s="20"/>
      <c r="M5" s="20"/>
      <c r="N5" s="20"/>
      <c r="O5" s="20"/>
      <c r="P5" s="20"/>
      <c r="Q5" s="20"/>
      <c r="R5" s="20"/>
      <c r="S5" s="20"/>
      <c r="T5" s="20"/>
      <c r="U5" s="20"/>
      <c r="V5" s="20"/>
      <c r="W5" s="20"/>
      <c r="X5" s="20"/>
      <c r="Y5" s="20"/>
      <c r="Z5" s="20"/>
    </row>
    <row r="6" ht="39.0" customHeight="1">
      <c r="A6" s="16" t="s">
        <v>20</v>
      </c>
      <c r="B6" s="17" t="s">
        <v>21</v>
      </c>
      <c r="C6" s="18"/>
      <c r="D6" s="17"/>
      <c r="E6" s="17" t="s">
        <v>22</v>
      </c>
      <c r="F6" s="18">
        <v>0.5</v>
      </c>
      <c r="G6" s="17" t="s">
        <v>10</v>
      </c>
      <c r="H6" s="19"/>
      <c r="I6" s="20"/>
      <c r="J6" s="20"/>
      <c r="K6" s="20"/>
      <c r="L6" s="20"/>
      <c r="M6" s="20"/>
      <c r="N6" s="20"/>
      <c r="O6" s="20"/>
      <c r="P6" s="20"/>
      <c r="Q6" s="20"/>
      <c r="R6" s="20"/>
      <c r="S6" s="20"/>
      <c r="T6" s="20"/>
      <c r="U6" s="20"/>
      <c r="V6" s="20"/>
      <c r="W6" s="20"/>
      <c r="X6" s="20"/>
      <c r="Y6" s="20"/>
      <c r="Z6" s="20"/>
    </row>
    <row r="7" ht="74.25" customHeight="1">
      <c r="A7" s="16" t="s">
        <v>23</v>
      </c>
      <c r="B7" s="17" t="s">
        <v>24</v>
      </c>
      <c r="C7" s="18"/>
      <c r="D7" s="17"/>
      <c r="E7" s="17" t="s">
        <v>25</v>
      </c>
      <c r="F7" s="18">
        <v>0.5</v>
      </c>
      <c r="G7" s="17" t="s">
        <v>10</v>
      </c>
      <c r="H7" s="19"/>
      <c r="I7" s="20"/>
      <c r="J7" s="20"/>
      <c r="K7" s="20"/>
      <c r="L7" s="20"/>
      <c r="M7" s="20"/>
      <c r="N7" s="20"/>
      <c r="O7" s="20"/>
      <c r="P7" s="20"/>
      <c r="Q7" s="20"/>
      <c r="R7" s="20"/>
      <c r="S7" s="20"/>
      <c r="T7" s="20"/>
      <c r="U7" s="20"/>
      <c r="V7" s="20"/>
      <c r="W7" s="20"/>
      <c r="X7" s="20"/>
      <c r="Y7" s="20"/>
      <c r="Z7" s="20"/>
    </row>
    <row r="8" ht="22.5" customHeight="1">
      <c r="A8" s="16" t="s">
        <v>26</v>
      </c>
      <c r="B8" s="17" t="s">
        <v>27</v>
      </c>
      <c r="C8" s="18"/>
      <c r="D8" s="17"/>
      <c r="E8" s="17" t="s">
        <v>28</v>
      </c>
      <c r="F8" s="18">
        <v>0.5</v>
      </c>
      <c r="G8" s="17" t="s">
        <v>10</v>
      </c>
      <c r="H8" s="21"/>
      <c r="I8" s="20"/>
      <c r="J8" s="20"/>
      <c r="K8" s="20"/>
      <c r="L8" s="20"/>
      <c r="M8" s="20"/>
      <c r="N8" s="20"/>
      <c r="O8" s="20"/>
      <c r="P8" s="20"/>
      <c r="Q8" s="20"/>
      <c r="R8" s="20"/>
      <c r="S8" s="20"/>
      <c r="T8" s="20"/>
      <c r="U8" s="20"/>
      <c r="V8" s="20"/>
      <c r="W8" s="20"/>
      <c r="X8" s="20"/>
      <c r="Y8" s="20"/>
      <c r="Z8" s="20"/>
    </row>
    <row r="9" ht="43.5" customHeight="1">
      <c r="A9" s="11" t="s">
        <v>29</v>
      </c>
      <c r="B9" s="12" t="s">
        <v>30</v>
      </c>
      <c r="C9" s="22" t="s">
        <v>31</v>
      </c>
      <c r="D9" s="13"/>
      <c r="E9" s="13"/>
      <c r="F9" s="15">
        <f>sum(F10:F15)</f>
        <v>2.5</v>
      </c>
      <c r="G9" s="13" t="s">
        <v>10</v>
      </c>
      <c r="H9" s="14"/>
      <c r="I9" s="10"/>
      <c r="J9" s="10"/>
      <c r="K9" s="10"/>
      <c r="L9" s="10"/>
      <c r="M9" s="10"/>
      <c r="N9" s="10"/>
      <c r="O9" s="10"/>
      <c r="P9" s="10"/>
      <c r="Q9" s="10"/>
      <c r="R9" s="10"/>
      <c r="S9" s="10"/>
      <c r="T9" s="10"/>
      <c r="U9" s="10"/>
      <c r="V9" s="10"/>
      <c r="W9" s="10"/>
      <c r="X9" s="10"/>
      <c r="Y9" s="10"/>
      <c r="Z9" s="10"/>
    </row>
    <row r="10" ht="55.5" customHeight="1">
      <c r="A10" s="16" t="s">
        <v>32</v>
      </c>
      <c r="B10" s="17" t="s">
        <v>33</v>
      </c>
      <c r="C10" s="18"/>
      <c r="D10" s="17"/>
      <c r="E10" s="17" t="s">
        <v>34</v>
      </c>
      <c r="F10" s="18">
        <v>1.0</v>
      </c>
      <c r="G10" s="17" t="s">
        <v>10</v>
      </c>
      <c r="H10" s="19"/>
      <c r="I10" s="20"/>
      <c r="J10" s="20"/>
      <c r="K10" s="20"/>
      <c r="L10" s="20"/>
      <c r="M10" s="20"/>
      <c r="N10" s="20"/>
      <c r="O10" s="20"/>
      <c r="P10" s="20"/>
      <c r="Q10" s="20"/>
      <c r="R10" s="20"/>
      <c r="S10" s="20"/>
      <c r="T10" s="20"/>
      <c r="U10" s="20"/>
      <c r="V10" s="20"/>
      <c r="W10" s="20"/>
      <c r="X10" s="20"/>
      <c r="Y10" s="20"/>
      <c r="Z10" s="20"/>
    </row>
    <row r="11" ht="57.0" customHeight="1">
      <c r="A11" s="16" t="s">
        <v>35</v>
      </c>
      <c r="B11" s="17" t="s">
        <v>36</v>
      </c>
      <c r="C11" s="18"/>
      <c r="D11" s="17"/>
      <c r="E11" s="17" t="s">
        <v>37</v>
      </c>
      <c r="F11" s="18">
        <v>0.5</v>
      </c>
      <c r="G11" s="17" t="s">
        <v>10</v>
      </c>
      <c r="H11" s="17"/>
      <c r="I11" s="20"/>
      <c r="J11" s="20"/>
      <c r="K11" s="20"/>
      <c r="L11" s="20"/>
      <c r="M11" s="20"/>
      <c r="N11" s="20"/>
      <c r="O11" s="20"/>
      <c r="P11" s="20"/>
      <c r="Q11" s="20"/>
      <c r="R11" s="20"/>
      <c r="S11" s="20"/>
      <c r="T11" s="20"/>
      <c r="U11" s="20"/>
      <c r="V11" s="20"/>
      <c r="W11" s="20"/>
      <c r="X11" s="20"/>
      <c r="Y11" s="20"/>
      <c r="Z11" s="20"/>
    </row>
    <row r="12" ht="22.5" customHeight="1">
      <c r="A12" s="16" t="s">
        <v>38</v>
      </c>
      <c r="B12" s="17" t="s">
        <v>39</v>
      </c>
      <c r="C12" s="18"/>
      <c r="D12" s="17"/>
      <c r="E12" s="17" t="s">
        <v>40</v>
      </c>
      <c r="F12" s="18">
        <v>0.5</v>
      </c>
      <c r="G12" s="17" t="s">
        <v>10</v>
      </c>
      <c r="H12" s="19"/>
      <c r="I12" s="20"/>
      <c r="J12" s="20"/>
      <c r="K12" s="20"/>
      <c r="L12" s="20"/>
      <c r="M12" s="20"/>
      <c r="N12" s="20"/>
      <c r="O12" s="20"/>
      <c r="P12" s="20"/>
      <c r="Q12" s="20"/>
      <c r="R12" s="20"/>
      <c r="S12" s="20"/>
      <c r="T12" s="20"/>
      <c r="U12" s="20"/>
      <c r="V12" s="20"/>
      <c r="W12" s="20"/>
      <c r="X12" s="20"/>
      <c r="Y12" s="20"/>
      <c r="Z12" s="20"/>
    </row>
    <row r="13" ht="57.0" customHeight="1">
      <c r="A13" s="16" t="s">
        <v>41</v>
      </c>
      <c r="B13" s="17" t="s">
        <v>42</v>
      </c>
      <c r="C13" s="18"/>
      <c r="D13" s="17"/>
      <c r="E13" s="17" t="s">
        <v>43</v>
      </c>
      <c r="F13" s="18"/>
      <c r="G13" s="17"/>
      <c r="H13" s="19"/>
      <c r="I13" s="20"/>
      <c r="J13" s="20"/>
      <c r="K13" s="20"/>
      <c r="L13" s="20"/>
      <c r="M13" s="20"/>
      <c r="N13" s="20"/>
      <c r="O13" s="20"/>
      <c r="P13" s="20"/>
      <c r="Q13" s="20"/>
      <c r="R13" s="20"/>
      <c r="S13" s="20"/>
      <c r="T13" s="20"/>
      <c r="U13" s="20"/>
      <c r="V13" s="20"/>
      <c r="W13" s="20"/>
      <c r="X13" s="20"/>
      <c r="Y13" s="20"/>
      <c r="Z13" s="20"/>
    </row>
    <row r="14" ht="71.25" customHeight="1">
      <c r="A14" s="16" t="s">
        <v>44</v>
      </c>
      <c r="B14" s="17" t="s">
        <v>45</v>
      </c>
      <c r="C14" s="18"/>
      <c r="D14" s="17"/>
      <c r="E14" s="17" t="s">
        <v>46</v>
      </c>
      <c r="F14" s="18"/>
      <c r="G14" s="17"/>
      <c r="H14" s="19"/>
      <c r="I14" s="20"/>
      <c r="J14" s="20"/>
      <c r="K14" s="20"/>
      <c r="L14" s="20"/>
      <c r="M14" s="20"/>
      <c r="N14" s="20"/>
      <c r="O14" s="20"/>
      <c r="P14" s="20"/>
      <c r="Q14" s="20"/>
      <c r="R14" s="20"/>
      <c r="S14" s="20"/>
      <c r="T14" s="20"/>
      <c r="U14" s="20"/>
      <c r="V14" s="20"/>
      <c r="W14" s="20"/>
      <c r="X14" s="20"/>
      <c r="Y14" s="20"/>
      <c r="Z14" s="20"/>
    </row>
    <row r="15" ht="70.5" customHeight="1">
      <c r="A15" s="16" t="s">
        <v>47</v>
      </c>
      <c r="B15" s="17" t="s">
        <v>48</v>
      </c>
      <c r="C15" s="18"/>
      <c r="D15" s="17"/>
      <c r="E15" s="17" t="s">
        <v>49</v>
      </c>
      <c r="F15" s="18">
        <v>0.5</v>
      </c>
      <c r="G15" s="17" t="s">
        <v>10</v>
      </c>
      <c r="H15" s="19"/>
      <c r="I15" s="20"/>
      <c r="J15" s="20"/>
      <c r="K15" s="20"/>
      <c r="L15" s="20"/>
      <c r="M15" s="20"/>
      <c r="N15" s="20"/>
      <c r="O15" s="20"/>
      <c r="P15" s="20"/>
      <c r="Q15" s="20"/>
      <c r="R15" s="20"/>
      <c r="S15" s="20"/>
      <c r="T15" s="20"/>
      <c r="U15" s="20"/>
      <c r="V15" s="20"/>
      <c r="W15" s="20"/>
      <c r="X15" s="20"/>
      <c r="Y15" s="20"/>
      <c r="Z15" s="20"/>
    </row>
    <row r="16" ht="63.0" customHeight="1">
      <c r="A16" s="16" t="s">
        <v>50</v>
      </c>
      <c r="B16" s="17" t="s">
        <v>51</v>
      </c>
      <c r="C16" s="18"/>
      <c r="D16" s="17"/>
      <c r="E16" s="17" t="s">
        <v>52</v>
      </c>
      <c r="F16" s="18"/>
      <c r="G16" s="17"/>
      <c r="H16" s="19"/>
      <c r="I16" s="20"/>
      <c r="J16" s="20"/>
      <c r="K16" s="20"/>
      <c r="L16" s="20"/>
      <c r="M16" s="20"/>
      <c r="N16" s="20"/>
      <c r="O16" s="20"/>
      <c r="P16" s="20"/>
      <c r="Q16" s="20"/>
      <c r="R16" s="20"/>
      <c r="S16" s="20"/>
      <c r="T16" s="20"/>
      <c r="U16" s="20"/>
      <c r="V16" s="20"/>
      <c r="W16" s="20"/>
      <c r="X16" s="20"/>
      <c r="Y16" s="20"/>
      <c r="Z16" s="20"/>
    </row>
    <row r="17" ht="41.25" customHeight="1">
      <c r="A17" s="23" t="s">
        <v>53</v>
      </c>
      <c r="B17" s="5" t="s">
        <v>54</v>
      </c>
      <c r="C17" s="6"/>
      <c r="D17" s="7"/>
      <c r="E17" s="7"/>
      <c r="F17" s="8">
        <f>sum(F18,F22,F25)</f>
        <v>10</v>
      </c>
      <c r="G17" s="7" t="s">
        <v>10</v>
      </c>
      <c r="H17" s="24"/>
      <c r="I17" s="10"/>
      <c r="J17" s="10"/>
      <c r="K17" s="10"/>
      <c r="L17" s="10"/>
      <c r="M17" s="10"/>
      <c r="N17" s="10"/>
      <c r="O17" s="10"/>
      <c r="P17" s="10"/>
      <c r="Q17" s="10"/>
      <c r="R17" s="10"/>
      <c r="S17" s="10"/>
      <c r="T17" s="10"/>
      <c r="U17" s="10"/>
      <c r="V17" s="10"/>
      <c r="W17" s="10"/>
      <c r="X17" s="10"/>
      <c r="Y17" s="10"/>
      <c r="Z17" s="10"/>
    </row>
    <row r="18" ht="41.25" customHeight="1">
      <c r="A18" s="25" t="s">
        <v>55</v>
      </c>
      <c r="B18" s="12" t="s">
        <v>56</v>
      </c>
      <c r="C18" s="22" t="s">
        <v>31</v>
      </c>
      <c r="D18" s="13"/>
      <c r="E18" s="13"/>
      <c r="F18" s="15">
        <f>sum(F19:F21)</f>
        <v>2.5</v>
      </c>
      <c r="G18" s="13" t="s">
        <v>10</v>
      </c>
      <c r="H18" s="14"/>
      <c r="I18" s="10"/>
      <c r="J18" s="10"/>
      <c r="K18" s="10"/>
      <c r="L18" s="10"/>
      <c r="M18" s="10"/>
      <c r="N18" s="10"/>
      <c r="O18" s="10"/>
      <c r="P18" s="10"/>
      <c r="Q18" s="10"/>
      <c r="R18" s="10"/>
      <c r="S18" s="10"/>
      <c r="T18" s="10"/>
      <c r="U18" s="10"/>
      <c r="V18" s="10"/>
      <c r="W18" s="10"/>
      <c r="X18" s="10"/>
      <c r="Y18" s="10"/>
      <c r="Z18" s="10"/>
    </row>
    <row r="19" ht="92.25" customHeight="1">
      <c r="A19" s="16" t="s">
        <v>57</v>
      </c>
      <c r="B19" s="17" t="s">
        <v>58</v>
      </c>
      <c r="C19" s="18"/>
      <c r="D19" s="17"/>
      <c r="E19" s="17" t="s">
        <v>59</v>
      </c>
      <c r="F19" s="18">
        <v>1.0</v>
      </c>
      <c r="G19" s="17" t="s">
        <v>10</v>
      </c>
      <c r="H19" s="19"/>
      <c r="I19" s="20"/>
      <c r="J19" s="20"/>
      <c r="K19" s="20"/>
      <c r="L19" s="20"/>
      <c r="M19" s="20"/>
      <c r="N19" s="20"/>
      <c r="O19" s="20"/>
      <c r="P19" s="20"/>
      <c r="Q19" s="20"/>
      <c r="R19" s="20"/>
      <c r="S19" s="20"/>
      <c r="T19" s="20"/>
      <c r="U19" s="20"/>
      <c r="V19" s="20"/>
      <c r="W19" s="20"/>
      <c r="X19" s="20"/>
      <c r="Y19" s="20"/>
      <c r="Z19" s="20"/>
    </row>
    <row r="20" ht="156.0" customHeight="1">
      <c r="A20" s="16" t="s">
        <v>60</v>
      </c>
      <c r="B20" s="17" t="s">
        <v>61</v>
      </c>
      <c r="C20" s="18"/>
      <c r="D20" s="17"/>
      <c r="E20" s="17" t="s">
        <v>62</v>
      </c>
      <c r="F20" s="18">
        <v>1.0</v>
      </c>
      <c r="G20" s="17" t="s">
        <v>10</v>
      </c>
      <c r="H20" s="19"/>
      <c r="I20" s="20"/>
      <c r="J20" s="20"/>
      <c r="K20" s="20"/>
      <c r="L20" s="20"/>
      <c r="M20" s="20"/>
      <c r="N20" s="20"/>
      <c r="O20" s="20"/>
      <c r="P20" s="20"/>
      <c r="Q20" s="20"/>
      <c r="R20" s="20"/>
      <c r="S20" s="20"/>
      <c r="T20" s="20"/>
      <c r="U20" s="20"/>
      <c r="V20" s="20"/>
      <c r="W20" s="20"/>
      <c r="X20" s="20"/>
      <c r="Y20" s="20"/>
      <c r="Z20" s="20"/>
    </row>
    <row r="21" ht="120.75" customHeight="1">
      <c r="A21" s="16" t="s">
        <v>63</v>
      </c>
      <c r="B21" s="17" t="s">
        <v>64</v>
      </c>
      <c r="C21" s="18"/>
      <c r="D21" s="17"/>
      <c r="E21" s="17" t="s">
        <v>65</v>
      </c>
      <c r="F21" s="18">
        <v>0.5</v>
      </c>
      <c r="G21" s="17" t="s">
        <v>10</v>
      </c>
      <c r="H21" s="19"/>
      <c r="I21" s="20"/>
      <c r="J21" s="20"/>
      <c r="K21" s="20"/>
      <c r="L21" s="20"/>
      <c r="M21" s="20"/>
      <c r="N21" s="20"/>
      <c r="O21" s="20"/>
      <c r="P21" s="20"/>
      <c r="Q21" s="20"/>
      <c r="R21" s="20"/>
      <c r="S21" s="20"/>
      <c r="T21" s="20"/>
      <c r="U21" s="20"/>
      <c r="V21" s="20"/>
      <c r="W21" s="20"/>
      <c r="X21" s="20"/>
      <c r="Y21" s="20"/>
      <c r="Z21" s="20"/>
    </row>
    <row r="22" ht="22.5" customHeight="1">
      <c r="A22" s="25" t="s">
        <v>66</v>
      </c>
      <c r="B22" s="12" t="s">
        <v>67</v>
      </c>
      <c r="C22" s="22" t="s">
        <v>13</v>
      </c>
      <c r="D22" s="13"/>
      <c r="E22" s="13"/>
      <c r="F22" s="15">
        <f>sum(F23:F24)</f>
        <v>4</v>
      </c>
      <c r="G22" s="13" t="s">
        <v>10</v>
      </c>
      <c r="H22" s="14"/>
      <c r="I22" s="10"/>
      <c r="J22" s="10"/>
      <c r="K22" s="10"/>
      <c r="L22" s="10"/>
      <c r="M22" s="10"/>
      <c r="N22" s="10"/>
      <c r="O22" s="10"/>
      <c r="P22" s="10"/>
      <c r="Q22" s="10"/>
      <c r="R22" s="10"/>
      <c r="S22" s="10"/>
      <c r="T22" s="10"/>
      <c r="U22" s="10"/>
      <c r="V22" s="10"/>
      <c r="W22" s="10"/>
      <c r="X22" s="10"/>
      <c r="Y22" s="10"/>
      <c r="Z22" s="10"/>
    </row>
    <row r="23" ht="63.75" customHeight="1">
      <c r="A23" s="16" t="s">
        <v>68</v>
      </c>
      <c r="B23" s="17" t="s">
        <v>69</v>
      </c>
      <c r="C23" s="18"/>
      <c r="D23" s="17"/>
      <c r="E23" s="17" t="s">
        <v>70</v>
      </c>
      <c r="F23" s="18">
        <v>2.0</v>
      </c>
      <c r="G23" s="17" t="s">
        <v>10</v>
      </c>
      <c r="H23" s="19"/>
      <c r="I23" s="20"/>
      <c r="J23" s="20"/>
      <c r="K23" s="20"/>
      <c r="L23" s="20"/>
      <c r="M23" s="20"/>
      <c r="N23" s="20"/>
      <c r="O23" s="20"/>
      <c r="P23" s="20"/>
      <c r="Q23" s="20"/>
      <c r="R23" s="20"/>
      <c r="S23" s="20"/>
      <c r="T23" s="20"/>
      <c r="U23" s="20"/>
      <c r="V23" s="20"/>
      <c r="W23" s="20"/>
      <c r="X23" s="20"/>
      <c r="Y23" s="20"/>
      <c r="Z23" s="20"/>
    </row>
    <row r="24" ht="66.75" customHeight="1">
      <c r="A24" s="16" t="s">
        <v>71</v>
      </c>
      <c r="B24" s="17" t="s">
        <v>72</v>
      </c>
      <c r="C24" s="18"/>
      <c r="D24" s="17"/>
      <c r="E24" s="17" t="s">
        <v>73</v>
      </c>
      <c r="F24" s="18">
        <v>2.0</v>
      </c>
      <c r="G24" s="17" t="s">
        <v>10</v>
      </c>
      <c r="H24" s="19"/>
      <c r="I24" s="20"/>
      <c r="J24" s="20"/>
      <c r="K24" s="20"/>
      <c r="L24" s="20"/>
      <c r="M24" s="20"/>
      <c r="N24" s="20"/>
      <c r="O24" s="20"/>
      <c r="P24" s="20"/>
      <c r="Q24" s="20"/>
      <c r="R24" s="20"/>
      <c r="S24" s="20"/>
      <c r="T24" s="20"/>
      <c r="U24" s="20"/>
      <c r="V24" s="20"/>
      <c r="W24" s="20"/>
      <c r="X24" s="20"/>
      <c r="Y24" s="20"/>
      <c r="Z24" s="20"/>
    </row>
    <row r="25" ht="41.25" customHeight="1">
      <c r="A25" s="11" t="s">
        <v>74</v>
      </c>
      <c r="B25" s="12" t="s">
        <v>75</v>
      </c>
      <c r="C25" s="22" t="s">
        <v>13</v>
      </c>
      <c r="D25" s="13"/>
      <c r="E25" s="13"/>
      <c r="F25" s="15">
        <f>sum(F26:F30)</f>
        <v>3.5</v>
      </c>
      <c r="G25" s="13" t="s">
        <v>10</v>
      </c>
      <c r="H25" s="14"/>
      <c r="I25" s="10"/>
      <c r="J25" s="10"/>
      <c r="K25" s="10"/>
      <c r="L25" s="10"/>
      <c r="M25" s="10"/>
      <c r="N25" s="10"/>
      <c r="O25" s="10"/>
      <c r="P25" s="10"/>
      <c r="Q25" s="10"/>
      <c r="R25" s="10"/>
      <c r="S25" s="10"/>
      <c r="T25" s="10"/>
      <c r="U25" s="10"/>
      <c r="V25" s="10"/>
      <c r="W25" s="10"/>
      <c r="X25" s="10"/>
      <c r="Y25" s="10"/>
      <c r="Z25" s="10"/>
    </row>
    <row r="26" ht="22.5" customHeight="1">
      <c r="A26" s="16" t="s">
        <v>76</v>
      </c>
      <c r="B26" s="17" t="s">
        <v>77</v>
      </c>
      <c r="C26" s="18"/>
      <c r="D26" s="17"/>
      <c r="E26" s="17" t="s">
        <v>78</v>
      </c>
      <c r="F26" s="18">
        <v>1.0</v>
      </c>
      <c r="G26" s="17" t="s">
        <v>10</v>
      </c>
      <c r="H26" s="19"/>
      <c r="I26" s="20"/>
      <c r="J26" s="20"/>
      <c r="K26" s="20"/>
      <c r="L26" s="20"/>
      <c r="M26" s="20"/>
      <c r="N26" s="20"/>
      <c r="O26" s="20"/>
      <c r="P26" s="20"/>
      <c r="Q26" s="20"/>
      <c r="R26" s="20"/>
      <c r="S26" s="20"/>
      <c r="T26" s="20"/>
      <c r="U26" s="20"/>
      <c r="V26" s="20"/>
      <c r="W26" s="20"/>
      <c r="X26" s="20"/>
      <c r="Y26" s="20"/>
      <c r="Z26" s="20"/>
    </row>
    <row r="27" ht="57.0" customHeight="1">
      <c r="A27" s="16" t="s">
        <v>79</v>
      </c>
      <c r="B27" s="17" t="s">
        <v>80</v>
      </c>
      <c r="C27" s="18"/>
      <c r="D27" s="17"/>
      <c r="E27" s="17" t="s">
        <v>81</v>
      </c>
      <c r="F27" s="18">
        <v>1.0</v>
      </c>
      <c r="G27" s="17" t="s">
        <v>10</v>
      </c>
      <c r="H27" s="19"/>
      <c r="I27" s="20"/>
      <c r="J27" s="20"/>
      <c r="K27" s="20"/>
      <c r="L27" s="20"/>
      <c r="M27" s="20"/>
      <c r="N27" s="20"/>
      <c r="O27" s="20"/>
      <c r="P27" s="20"/>
      <c r="Q27" s="20"/>
      <c r="R27" s="20"/>
      <c r="S27" s="20"/>
      <c r="T27" s="20"/>
      <c r="U27" s="20"/>
      <c r="V27" s="20"/>
      <c r="W27" s="20"/>
      <c r="X27" s="20"/>
      <c r="Y27" s="20"/>
      <c r="Z27" s="20"/>
    </row>
    <row r="28" ht="73.5" customHeight="1">
      <c r="A28" s="16" t="s">
        <v>82</v>
      </c>
      <c r="B28" s="17" t="s">
        <v>83</v>
      </c>
      <c r="C28" s="18"/>
      <c r="D28" s="17"/>
      <c r="E28" s="17" t="s">
        <v>84</v>
      </c>
      <c r="F28" s="18">
        <v>0.5</v>
      </c>
      <c r="G28" s="17" t="s">
        <v>10</v>
      </c>
      <c r="H28" s="19"/>
      <c r="I28" s="20"/>
      <c r="J28" s="20"/>
      <c r="K28" s="20"/>
      <c r="L28" s="20"/>
      <c r="M28" s="20"/>
      <c r="N28" s="20"/>
      <c r="O28" s="20"/>
      <c r="P28" s="20"/>
      <c r="Q28" s="20"/>
      <c r="R28" s="20"/>
      <c r="S28" s="20"/>
      <c r="T28" s="20"/>
      <c r="U28" s="20"/>
      <c r="V28" s="20"/>
      <c r="W28" s="20"/>
      <c r="X28" s="20"/>
      <c r="Y28" s="20"/>
      <c r="Z28" s="20"/>
    </row>
    <row r="29" ht="73.5" customHeight="1">
      <c r="A29" s="16" t="s">
        <v>85</v>
      </c>
      <c r="B29" s="17" t="s">
        <v>86</v>
      </c>
      <c r="C29" s="18"/>
      <c r="D29" s="17"/>
      <c r="E29" s="17" t="s">
        <v>87</v>
      </c>
      <c r="F29" s="18" t="s">
        <v>88</v>
      </c>
      <c r="G29" s="17"/>
      <c r="H29" s="19"/>
      <c r="I29" s="20"/>
      <c r="J29" s="20"/>
      <c r="K29" s="20"/>
      <c r="L29" s="20"/>
      <c r="M29" s="20"/>
      <c r="N29" s="20"/>
      <c r="O29" s="20"/>
      <c r="P29" s="20"/>
      <c r="Q29" s="20"/>
      <c r="R29" s="20"/>
      <c r="S29" s="20"/>
      <c r="T29" s="20"/>
      <c r="U29" s="20"/>
      <c r="V29" s="20"/>
      <c r="W29" s="20"/>
      <c r="X29" s="20"/>
      <c r="Y29" s="20"/>
      <c r="Z29" s="20"/>
    </row>
    <row r="30" ht="51.75" customHeight="1">
      <c r="A30" s="16" t="s">
        <v>85</v>
      </c>
      <c r="B30" s="17" t="s">
        <v>89</v>
      </c>
      <c r="C30" s="18"/>
      <c r="D30" s="17"/>
      <c r="E30" s="17" t="s">
        <v>90</v>
      </c>
      <c r="F30" s="18">
        <v>1.0</v>
      </c>
      <c r="G30" s="17" t="s">
        <v>10</v>
      </c>
      <c r="H30" s="19"/>
      <c r="I30" s="20"/>
      <c r="J30" s="20"/>
      <c r="K30" s="20"/>
      <c r="L30" s="20"/>
      <c r="M30" s="20"/>
      <c r="N30" s="20"/>
      <c r="O30" s="20"/>
      <c r="P30" s="20"/>
      <c r="Q30" s="20"/>
      <c r="R30" s="20"/>
      <c r="S30" s="20"/>
      <c r="T30" s="20"/>
      <c r="U30" s="20"/>
      <c r="V30" s="20"/>
      <c r="W30" s="20"/>
      <c r="X30" s="20"/>
      <c r="Y30" s="20"/>
      <c r="Z30" s="20"/>
    </row>
    <row r="31" ht="41.25" customHeight="1">
      <c r="A31" s="4" t="s">
        <v>91</v>
      </c>
      <c r="B31" s="5" t="s">
        <v>92</v>
      </c>
      <c r="C31" s="6"/>
      <c r="D31" s="7"/>
      <c r="E31" s="7"/>
      <c r="F31" s="8">
        <f>sum(F32,F36,F39,F44)</f>
        <v>9.5</v>
      </c>
      <c r="G31" s="7" t="s">
        <v>10</v>
      </c>
      <c r="H31" s="7"/>
      <c r="I31" s="10"/>
      <c r="J31" s="10"/>
      <c r="K31" s="10"/>
      <c r="L31" s="10"/>
      <c r="M31" s="10"/>
      <c r="N31" s="10"/>
      <c r="O31" s="10"/>
      <c r="P31" s="10"/>
      <c r="Q31" s="10"/>
      <c r="R31" s="10"/>
      <c r="S31" s="10"/>
      <c r="T31" s="10"/>
      <c r="U31" s="10"/>
      <c r="V31" s="10"/>
      <c r="W31" s="10"/>
      <c r="X31" s="10"/>
      <c r="Y31" s="10"/>
      <c r="Z31" s="10"/>
    </row>
    <row r="32" ht="45.75" customHeight="1">
      <c r="A32" s="11" t="s">
        <v>93</v>
      </c>
      <c r="B32" s="12" t="s">
        <v>94</v>
      </c>
      <c r="C32" s="22" t="s">
        <v>95</v>
      </c>
      <c r="D32" s="13"/>
      <c r="E32" s="13"/>
      <c r="F32" s="15">
        <f>sum(F33:F35)</f>
        <v>1.5</v>
      </c>
      <c r="G32" s="13" t="s">
        <v>10</v>
      </c>
      <c r="H32" s="13"/>
      <c r="I32" s="10"/>
      <c r="J32" s="10"/>
      <c r="K32" s="10"/>
      <c r="L32" s="10"/>
      <c r="M32" s="10"/>
      <c r="N32" s="10"/>
      <c r="O32" s="10"/>
      <c r="P32" s="10"/>
      <c r="Q32" s="10"/>
      <c r="R32" s="10"/>
      <c r="S32" s="10"/>
      <c r="T32" s="10"/>
      <c r="U32" s="10"/>
      <c r="V32" s="10"/>
      <c r="W32" s="10"/>
      <c r="X32" s="10"/>
      <c r="Y32" s="10"/>
      <c r="Z32" s="10"/>
    </row>
    <row r="33" ht="43.5" customHeight="1">
      <c r="A33" s="16" t="s">
        <v>96</v>
      </c>
      <c r="B33" s="17" t="s">
        <v>97</v>
      </c>
      <c r="C33" s="18"/>
      <c r="D33" s="17"/>
      <c r="E33" s="17" t="s">
        <v>98</v>
      </c>
      <c r="F33" s="18">
        <v>0.5</v>
      </c>
      <c r="G33" s="17" t="s">
        <v>10</v>
      </c>
      <c r="H33" s="19"/>
      <c r="I33" s="20"/>
      <c r="J33" s="20"/>
      <c r="K33" s="20"/>
      <c r="L33" s="20"/>
      <c r="M33" s="20"/>
      <c r="N33" s="20"/>
      <c r="O33" s="20"/>
      <c r="P33" s="20"/>
      <c r="Q33" s="20"/>
      <c r="R33" s="20"/>
      <c r="S33" s="20"/>
      <c r="T33" s="20"/>
      <c r="U33" s="20"/>
      <c r="V33" s="20"/>
      <c r="W33" s="20"/>
      <c r="X33" s="20"/>
      <c r="Y33" s="20"/>
      <c r="Z33" s="20"/>
    </row>
    <row r="34" ht="60.75" customHeight="1">
      <c r="A34" s="16" t="s">
        <v>99</v>
      </c>
      <c r="B34" s="17" t="s">
        <v>100</v>
      </c>
      <c r="C34" s="18"/>
      <c r="D34" s="17"/>
      <c r="E34" s="17" t="s">
        <v>101</v>
      </c>
      <c r="F34" s="18">
        <v>0.5</v>
      </c>
      <c r="G34" s="17" t="s">
        <v>10</v>
      </c>
      <c r="H34" s="17"/>
      <c r="I34" s="20"/>
      <c r="J34" s="20"/>
      <c r="K34" s="20"/>
      <c r="L34" s="20"/>
      <c r="M34" s="20"/>
      <c r="N34" s="20"/>
      <c r="O34" s="20"/>
      <c r="P34" s="20"/>
      <c r="Q34" s="20"/>
      <c r="R34" s="20"/>
      <c r="S34" s="20"/>
      <c r="T34" s="20"/>
      <c r="U34" s="20"/>
      <c r="V34" s="20"/>
      <c r="W34" s="20"/>
      <c r="X34" s="20"/>
      <c r="Y34" s="20"/>
      <c r="Z34" s="20"/>
    </row>
    <row r="35" ht="42.0" customHeight="1">
      <c r="A35" s="16" t="s">
        <v>102</v>
      </c>
      <c r="B35" s="17" t="s">
        <v>103</v>
      </c>
      <c r="C35" s="18"/>
      <c r="D35" s="17"/>
      <c r="E35" s="17" t="s">
        <v>104</v>
      </c>
      <c r="F35" s="18">
        <v>0.5</v>
      </c>
      <c r="G35" s="17" t="s">
        <v>10</v>
      </c>
      <c r="H35" s="17"/>
      <c r="I35" s="20"/>
      <c r="J35" s="20"/>
      <c r="K35" s="20"/>
      <c r="L35" s="20"/>
      <c r="M35" s="20"/>
      <c r="N35" s="20"/>
      <c r="O35" s="20"/>
      <c r="P35" s="20"/>
      <c r="Q35" s="20"/>
      <c r="R35" s="20"/>
      <c r="S35" s="20"/>
      <c r="T35" s="20"/>
      <c r="U35" s="20"/>
      <c r="V35" s="20"/>
      <c r="W35" s="20"/>
      <c r="X35" s="20"/>
      <c r="Y35" s="20"/>
      <c r="Z35" s="20"/>
    </row>
    <row r="36" ht="41.25" customHeight="1">
      <c r="A36" s="11" t="s">
        <v>105</v>
      </c>
      <c r="B36" s="12" t="s">
        <v>106</v>
      </c>
      <c r="C36" s="22" t="s">
        <v>107</v>
      </c>
      <c r="D36" s="13"/>
      <c r="E36" s="13"/>
      <c r="F36" s="15">
        <f>sum(F37:F38)</f>
        <v>4</v>
      </c>
      <c r="G36" s="13" t="s">
        <v>10</v>
      </c>
      <c r="H36" s="13"/>
      <c r="I36" s="10"/>
      <c r="J36" s="10"/>
      <c r="K36" s="10"/>
      <c r="L36" s="10"/>
      <c r="M36" s="10"/>
      <c r="N36" s="10"/>
      <c r="O36" s="10"/>
      <c r="P36" s="10"/>
      <c r="Q36" s="10"/>
      <c r="R36" s="10"/>
      <c r="S36" s="10"/>
      <c r="T36" s="10"/>
      <c r="U36" s="10"/>
      <c r="V36" s="10"/>
      <c r="W36" s="10"/>
      <c r="X36" s="10"/>
      <c r="Y36" s="10"/>
      <c r="Z36" s="10"/>
    </row>
    <row r="37" ht="57.75" customHeight="1">
      <c r="A37" s="16" t="s">
        <v>108</v>
      </c>
      <c r="B37" s="17" t="s">
        <v>109</v>
      </c>
      <c r="C37" s="18"/>
      <c r="D37" s="17"/>
      <c r="E37" s="17" t="s">
        <v>110</v>
      </c>
      <c r="F37" s="18">
        <v>2.0</v>
      </c>
      <c r="G37" s="17" t="s">
        <v>10</v>
      </c>
      <c r="H37" s="17"/>
      <c r="I37" s="20"/>
      <c r="J37" s="20"/>
      <c r="K37" s="20"/>
      <c r="L37" s="20"/>
      <c r="M37" s="20"/>
      <c r="N37" s="20"/>
      <c r="O37" s="20"/>
      <c r="P37" s="20"/>
      <c r="Q37" s="20"/>
      <c r="R37" s="20"/>
      <c r="S37" s="20"/>
      <c r="T37" s="20"/>
      <c r="U37" s="20"/>
      <c r="V37" s="20"/>
      <c r="W37" s="20"/>
      <c r="X37" s="20"/>
      <c r="Y37" s="20"/>
      <c r="Z37" s="20"/>
    </row>
    <row r="38" ht="122.25" customHeight="1">
      <c r="A38" s="16" t="s">
        <v>111</v>
      </c>
      <c r="B38" s="17" t="s">
        <v>112</v>
      </c>
      <c r="C38" s="18"/>
      <c r="D38" s="17"/>
      <c r="E38" s="17" t="s">
        <v>113</v>
      </c>
      <c r="F38" s="18">
        <v>2.0</v>
      </c>
      <c r="G38" s="17" t="s">
        <v>10</v>
      </c>
      <c r="H38" s="17"/>
      <c r="I38" s="20"/>
      <c r="J38" s="20"/>
      <c r="K38" s="20"/>
      <c r="L38" s="20"/>
      <c r="M38" s="20"/>
      <c r="N38" s="20"/>
      <c r="O38" s="20"/>
      <c r="P38" s="20"/>
      <c r="Q38" s="20"/>
      <c r="R38" s="20"/>
      <c r="S38" s="20"/>
      <c r="T38" s="20"/>
      <c r="U38" s="20"/>
      <c r="V38" s="20"/>
      <c r="W38" s="20"/>
      <c r="X38" s="20"/>
      <c r="Y38" s="20"/>
      <c r="Z38" s="20"/>
    </row>
    <row r="39" ht="44.25" customHeight="1">
      <c r="A39" s="11" t="s">
        <v>114</v>
      </c>
      <c r="B39" s="12" t="s">
        <v>115</v>
      </c>
      <c r="C39" s="22" t="s">
        <v>116</v>
      </c>
      <c r="D39" s="13"/>
      <c r="E39" s="13"/>
      <c r="F39" s="15">
        <f>sum(F40:F43)</f>
        <v>3.5</v>
      </c>
      <c r="G39" s="13" t="s">
        <v>10</v>
      </c>
      <c r="H39" s="13"/>
      <c r="I39" s="10"/>
      <c r="J39" s="10"/>
      <c r="K39" s="10"/>
      <c r="L39" s="10"/>
      <c r="M39" s="10"/>
      <c r="N39" s="10"/>
      <c r="O39" s="10"/>
      <c r="P39" s="10"/>
      <c r="Q39" s="10"/>
      <c r="R39" s="10"/>
      <c r="S39" s="10"/>
      <c r="T39" s="10"/>
      <c r="U39" s="10"/>
      <c r="V39" s="10"/>
      <c r="W39" s="10"/>
      <c r="X39" s="10"/>
      <c r="Y39" s="10"/>
      <c r="Z39" s="10"/>
    </row>
    <row r="40" ht="57.0" customHeight="1">
      <c r="A40" s="16" t="s">
        <v>117</v>
      </c>
      <c r="B40" s="17" t="s">
        <v>118</v>
      </c>
      <c r="C40" s="18"/>
      <c r="D40" s="17"/>
      <c r="E40" s="17" t="s">
        <v>119</v>
      </c>
      <c r="F40" s="18">
        <v>1.0</v>
      </c>
      <c r="G40" s="17" t="s">
        <v>10</v>
      </c>
      <c r="H40" s="17"/>
      <c r="I40" s="20"/>
      <c r="J40" s="20"/>
      <c r="K40" s="20"/>
      <c r="L40" s="20"/>
      <c r="M40" s="20"/>
      <c r="N40" s="20"/>
      <c r="O40" s="20"/>
      <c r="P40" s="20"/>
      <c r="Q40" s="20"/>
      <c r="R40" s="20"/>
      <c r="S40" s="20"/>
      <c r="T40" s="20"/>
      <c r="U40" s="20"/>
      <c r="V40" s="20"/>
      <c r="W40" s="20"/>
      <c r="X40" s="20"/>
      <c r="Y40" s="20"/>
      <c r="Z40" s="20"/>
    </row>
    <row r="41" ht="72.75" customHeight="1">
      <c r="A41" s="16" t="s">
        <v>120</v>
      </c>
      <c r="B41" s="17" t="s">
        <v>121</v>
      </c>
      <c r="C41" s="18"/>
      <c r="D41" s="17"/>
      <c r="E41" s="17" t="s">
        <v>122</v>
      </c>
      <c r="F41" s="18">
        <v>0.5</v>
      </c>
      <c r="G41" s="17" t="s">
        <v>10</v>
      </c>
      <c r="H41" s="17"/>
      <c r="I41" s="20"/>
      <c r="J41" s="20"/>
      <c r="K41" s="20"/>
      <c r="L41" s="20"/>
      <c r="M41" s="20"/>
      <c r="N41" s="20"/>
      <c r="O41" s="20"/>
      <c r="P41" s="20"/>
      <c r="Q41" s="20"/>
      <c r="R41" s="20"/>
      <c r="S41" s="20"/>
      <c r="T41" s="20"/>
      <c r="U41" s="20"/>
      <c r="V41" s="20"/>
      <c r="W41" s="20"/>
      <c r="X41" s="20"/>
      <c r="Y41" s="20"/>
      <c r="Z41" s="20"/>
    </row>
    <row r="42" ht="93.75" customHeight="1">
      <c r="A42" s="16" t="s">
        <v>123</v>
      </c>
      <c r="B42" s="17" t="s">
        <v>124</v>
      </c>
      <c r="C42" s="18"/>
      <c r="D42" s="17"/>
      <c r="E42" s="26" t="s">
        <v>125</v>
      </c>
      <c r="F42" s="18">
        <v>1.0</v>
      </c>
      <c r="G42" s="17" t="s">
        <v>10</v>
      </c>
      <c r="H42" s="17"/>
      <c r="I42" s="20"/>
      <c r="J42" s="20"/>
      <c r="K42" s="20"/>
      <c r="L42" s="20"/>
      <c r="M42" s="20"/>
      <c r="N42" s="20"/>
      <c r="O42" s="20"/>
      <c r="P42" s="20"/>
      <c r="Q42" s="20"/>
      <c r="R42" s="20"/>
      <c r="S42" s="20"/>
      <c r="T42" s="20"/>
      <c r="U42" s="20"/>
      <c r="V42" s="20"/>
      <c r="W42" s="20"/>
      <c r="X42" s="20"/>
      <c r="Y42" s="20"/>
      <c r="Z42" s="20"/>
    </row>
    <row r="43" ht="145.5" customHeight="1">
      <c r="A43" s="16" t="s">
        <v>126</v>
      </c>
      <c r="B43" s="17" t="s">
        <v>127</v>
      </c>
      <c r="C43" s="18"/>
      <c r="D43" s="17"/>
      <c r="E43" s="17" t="s">
        <v>128</v>
      </c>
      <c r="F43" s="18">
        <v>1.0</v>
      </c>
      <c r="G43" s="17" t="s">
        <v>10</v>
      </c>
      <c r="H43" s="17"/>
      <c r="I43" s="20"/>
      <c r="J43" s="20"/>
      <c r="K43" s="20"/>
      <c r="L43" s="20"/>
      <c r="M43" s="20"/>
      <c r="N43" s="20"/>
      <c r="O43" s="20"/>
      <c r="P43" s="20"/>
      <c r="Q43" s="20"/>
      <c r="R43" s="20"/>
      <c r="S43" s="20"/>
      <c r="T43" s="20"/>
      <c r="U43" s="20"/>
      <c r="V43" s="20"/>
      <c r="W43" s="20"/>
      <c r="X43" s="20"/>
      <c r="Y43" s="20"/>
      <c r="Z43" s="20"/>
    </row>
    <row r="44" ht="140.25" customHeight="1">
      <c r="A44" s="27" t="s">
        <v>129</v>
      </c>
      <c r="B44" s="12" t="s">
        <v>130</v>
      </c>
      <c r="C44" s="22" t="s">
        <v>131</v>
      </c>
      <c r="D44" s="13"/>
      <c r="E44" s="13" t="s">
        <v>132</v>
      </c>
      <c r="F44" s="15">
        <v>0.5</v>
      </c>
      <c r="G44" s="13" t="s">
        <v>10</v>
      </c>
      <c r="H44" s="13"/>
      <c r="I44" s="10"/>
      <c r="J44" s="10"/>
      <c r="K44" s="10"/>
      <c r="L44" s="10"/>
      <c r="M44" s="10"/>
      <c r="N44" s="10"/>
      <c r="O44" s="10"/>
      <c r="P44" s="10"/>
      <c r="Q44" s="10"/>
      <c r="R44" s="10"/>
      <c r="S44" s="10"/>
      <c r="T44" s="10"/>
      <c r="U44" s="10"/>
      <c r="V44" s="10"/>
      <c r="W44" s="10"/>
      <c r="X44" s="10"/>
      <c r="Y44" s="10"/>
      <c r="Z44" s="10"/>
    </row>
    <row r="45" ht="41.25" customHeight="1">
      <c r="A45" s="4" t="s">
        <v>133</v>
      </c>
      <c r="B45" s="5" t="s">
        <v>134</v>
      </c>
      <c r="C45" s="6" t="s">
        <v>95</v>
      </c>
      <c r="D45" s="7"/>
      <c r="E45" s="7"/>
      <c r="F45" s="8">
        <f>sum(F46,F54)</f>
        <v>3.5</v>
      </c>
      <c r="G45" s="7" t="s">
        <v>10</v>
      </c>
      <c r="H45" s="7"/>
      <c r="I45" s="10"/>
      <c r="J45" s="10"/>
      <c r="K45" s="10"/>
      <c r="L45" s="10"/>
      <c r="M45" s="10"/>
      <c r="N45" s="10"/>
      <c r="O45" s="10"/>
      <c r="P45" s="10"/>
      <c r="Q45" s="10"/>
      <c r="R45" s="10"/>
      <c r="S45" s="10"/>
      <c r="T45" s="10"/>
      <c r="U45" s="10"/>
      <c r="V45" s="10"/>
      <c r="W45" s="10"/>
      <c r="X45" s="10"/>
      <c r="Y45" s="10"/>
      <c r="Z45" s="10"/>
    </row>
    <row r="46" ht="40.5" customHeight="1">
      <c r="A46" s="25" t="s">
        <v>135</v>
      </c>
      <c r="B46" s="12" t="s">
        <v>136</v>
      </c>
      <c r="C46" s="22"/>
      <c r="D46" s="12"/>
      <c r="E46" s="12"/>
      <c r="F46" s="15">
        <f>sum(F47:F52)</f>
        <v>3</v>
      </c>
      <c r="G46" s="12" t="s">
        <v>10</v>
      </c>
      <c r="H46" s="28"/>
      <c r="I46" s="29"/>
      <c r="J46" s="29"/>
      <c r="K46" s="29"/>
      <c r="L46" s="29"/>
      <c r="M46" s="29"/>
      <c r="N46" s="29"/>
      <c r="O46" s="29"/>
      <c r="P46" s="29"/>
      <c r="Q46" s="29"/>
      <c r="R46" s="29"/>
      <c r="S46" s="29"/>
      <c r="T46" s="29"/>
      <c r="U46" s="29"/>
      <c r="V46" s="29"/>
      <c r="W46" s="29"/>
      <c r="X46" s="29"/>
      <c r="Y46" s="29"/>
      <c r="Z46" s="29"/>
    </row>
    <row r="47" ht="58.5" customHeight="1">
      <c r="A47" s="16" t="s">
        <v>137</v>
      </c>
      <c r="B47" s="17" t="s">
        <v>138</v>
      </c>
      <c r="C47" s="18"/>
      <c r="D47" s="17"/>
      <c r="E47" s="17" t="s">
        <v>139</v>
      </c>
      <c r="F47" s="18">
        <v>1.0</v>
      </c>
      <c r="G47" s="17" t="s">
        <v>10</v>
      </c>
      <c r="H47" s="19"/>
      <c r="I47" s="20"/>
      <c r="J47" s="20"/>
      <c r="K47" s="20"/>
      <c r="L47" s="20"/>
      <c r="M47" s="20"/>
      <c r="N47" s="20"/>
      <c r="O47" s="20"/>
      <c r="P47" s="20"/>
      <c r="Q47" s="20"/>
      <c r="R47" s="20"/>
      <c r="S47" s="20"/>
      <c r="T47" s="20"/>
      <c r="U47" s="20"/>
      <c r="V47" s="20"/>
      <c r="W47" s="20"/>
      <c r="X47" s="20"/>
      <c r="Y47" s="20"/>
      <c r="Z47" s="20"/>
    </row>
    <row r="48" ht="57.75" customHeight="1">
      <c r="A48" s="16" t="s">
        <v>140</v>
      </c>
      <c r="B48" s="17" t="s">
        <v>141</v>
      </c>
      <c r="C48" s="18"/>
      <c r="D48" s="17"/>
      <c r="E48" s="17" t="s">
        <v>142</v>
      </c>
      <c r="F48" s="18">
        <v>0.5</v>
      </c>
      <c r="G48" s="17" t="s">
        <v>10</v>
      </c>
      <c r="H48" s="19"/>
      <c r="I48" s="20"/>
      <c r="J48" s="20"/>
      <c r="K48" s="20"/>
      <c r="L48" s="20"/>
      <c r="M48" s="20"/>
      <c r="N48" s="20"/>
      <c r="O48" s="20"/>
      <c r="P48" s="20"/>
      <c r="Q48" s="20"/>
      <c r="R48" s="20"/>
      <c r="S48" s="20"/>
      <c r="T48" s="20"/>
      <c r="U48" s="20"/>
      <c r="V48" s="20"/>
      <c r="W48" s="20"/>
      <c r="X48" s="20"/>
      <c r="Y48" s="20"/>
      <c r="Z48" s="20"/>
    </row>
    <row r="49" ht="71.25" customHeight="1">
      <c r="A49" s="16" t="s">
        <v>143</v>
      </c>
      <c r="B49" s="17" t="s">
        <v>144</v>
      </c>
      <c r="C49" s="18"/>
      <c r="D49" s="17"/>
      <c r="E49" s="17" t="s">
        <v>145</v>
      </c>
      <c r="F49" s="18">
        <v>1.0</v>
      </c>
      <c r="G49" s="17" t="s">
        <v>10</v>
      </c>
      <c r="H49" s="19"/>
      <c r="I49" s="20"/>
      <c r="J49" s="20"/>
      <c r="K49" s="20"/>
      <c r="L49" s="20"/>
      <c r="M49" s="20"/>
      <c r="N49" s="20"/>
      <c r="O49" s="20"/>
      <c r="P49" s="20"/>
      <c r="Q49" s="20"/>
      <c r="R49" s="20"/>
      <c r="S49" s="20"/>
      <c r="T49" s="20"/>
      <c r="U49" s="20"/>
      <c r="V49" s="20"/>
      <c r="W49" s="20"/>
      <c r="X49" s="20"/>
      <c r="Y49" s="20"/>
      <c r="Z49" s="20"/>
    </row>
    <row r="50" ht="75.75" customHeight="1">
      <c r="A50" s="16" t="s">
        <v>146</v>
      </c>
      <c r="B50" s="17" t="s">
        <v>147</v>
      </c>
      <c r="C50" s="18"/>
      <c r="D50" s="17"/>
      <c r="E50" s="17" t="s">
        <v>148</v>
      </c>
      <c r="F50" s="18"/>
      <c r="G50" s="17"/>
      <c r="H50" s="19"/>
      <c r="I50" s="20"/>
      <c r="J50" s="20"/>
      <c r="K50" s="20"/>
      <c r="L50" s="20"/>
      <c r="M50" s="20"/>
      <c r="N50" s="20"/>
      <c r="O50" s="20"/>
      <c r="P50" s="20"/>
      <c r="Q50" s="20"/>
      <c r="R50" s="20"/>
      <c r="S50" s="20"/>
      <c r="T50" s="20"/>
      <c r="U50" s="20"/>
      <c r="V50" s="20"/>
      <c r="W50" s="20"/>
      <c r="X50" s="20"/>
      <c r="Y50" s="20"/>
      <c r="Z50" s="20"/>
    </row>
    <row r="51" ht="59.25" customHeight="1">
      <c r="A51" s="30" t="s">
        <v>149</v>
      </c>
      <c r="B51" s="12" t="s">
        <v>150</v>
      </c>
      <c r="C51" s="22"/>
      <c r="D51" s="13"/>
      <c r="E51" s="13"/>
      <c r="F51" s="22"/>
      <c r="G51" s="13"/>
      <c r="H51" s="14"/>
      <c r="I51" s="29"/>
      <c r="J51" s="29"/>
      <c r="K51" s="29"/>
      <c r="L51" s="29"/>
      <c r="M51" s="29"/>
      <c r="N51" s="29"/>
      <c r="O51" s="29"/>
      <c r="P51" s="29"/>
      <c r="Q51" s="29"/>
      <c r="R51" s="29"/>
      <c r="S51" s="29"/>
      <c r="T51" s="29"/>
      <c r="U51" s="29"/>
      <c r="V51" s="29"/>
      <c r="W51" s="29"/>
      <c r="X51" s="29"/>
      <c r="Y51" s="29"/>
      <c r="Z51" s="29"/>
    </row>
    <row r="52" ht="67.5" customHeight="1">
      <c r="A52" s="16" t="s">
        <v>151</v>
      </c>
      <c r="B52" s="17" t="s">
        <v>152</v>
      </c>
      <c r="C52" s="18"/>
      <c r="D52" s="17"/>
      <c r="E52" s="17" t="s">
        <v>153</v>
      </c>
      <c r="F52" s="18">
        <v>0.5</v>
      </c>
      <c r="G52" s="17" t="s">
        <v>10</v>
      </c>
      <c r="H52" s="19"/>
      <c r="I52" s="10"/>
      <c r="J52" s="10"/>
      <c r="K52" s="10"/>
      <c r="L52" s="10"/>
      <c r="M52" s="10"/>
      <c r="N52" s="10"/>
      <c r="O52" s="10"/>
      <c r="P52" s="10"/>
      <c r="Q52" s="10"/>
      <c r="R52" s="10"/>
      <c r="S52" s="10"/>
      <c r="T52" s="10"/>
      <c r="U52" s="10"/>
      <c r="V52" s="10"/>
      <c r="W52" s="10"/>
      <c r="X52" s="10"/>
      <c r="Y52" s="10"/>
      <c r="Z52" s="10"/>
    </row>
    <row r="53" ht="59.25" customHeight="1">
      <c r="A53" s="16" t="s">
        <v>154</v>
      </c>
      <c r="B53" s="17" t="s">
        <v>155</v>
      </c>
      <c r="C53" s="18"/>
      <c r="D53" s="31"/>
      <c r="E53" s="17" t="s">
        <v>156</v>
      </c>
      <c r="F53" s="32"/>
      <c r="G53" s="31" t="s">
        <v>10</v>
      </c>
      <c r="H53" s="33"/>
      <c r="I53" s="29"/>
      <c r="J53" s="29"/>
      <c r="K53" s="29"/>
      <c r="L53" s="29"/>
      <c r="M53" s="29"/>
      <c r="N53" s="29"/>
      <c r="O53" s="29"/>
      <c r="P53" s="29"/>
      <c r="Q53" s="29"/>
      <c r="R53" s="29"/>
      <c r="S53" s="29"/>
      <c r="T53" s="29"/>
      <c r="U53" s="29"/>
      <c r="V53" s="29"/>
      <c r="W53" s="29"/>
      <c r="X53" s="29"/>
      <c r="Y53" s="29"/>
      <c r="Z53" s="29"/>
    </row>
    <row r="54" ht="45.0" customHeight="1">
      <c r="A54" s="16" t="s">
        <v>157</v>
      </c>
      <c r="B54" s="17" t="s">
        <v>158</v>
      </c>
      <c r="C54" s="18"/>
      <c r="D54" s="31"/>
      <c r="E54" s="17" t="s">
        <v>159</v>
      </c>
      <c r="F54" s="32">
        <v>0.5</v>
      </c>
      <c r="G54" s="31" t="s">
        <v>10</v>
      </c>
      <c r="H54" s="33"/>
      <c r="I54" s="20"/>
      <c r="J54" s="20"/>
      <c r="K54" s="20"/>
      <c r="L54" s="20"/>
      <c r="M54" s="20"/>
      <c r="N54" s="20"/>
      <c r="O54" s="20"/>
      <c r="P54" s="20"/>
      <c r="Q54" s="20"/>
      <c r="R54" s="20"/>
      <c r="S54" s="20"/>
      <c r="T54" s="20"/>
      <c r="U54" s="20"/>
      <c r="V54" s="20"/>
      <c r="W54" s="20"/>
      <c r="X54" s="20"/>
      <c r="Y54" s="20"/>
      <c r="Z54" s="20"/>
    </row>
    <row r="55" ht="41.25" customHeight="1">
      <c r="A55" s="4" t="s">
        <v>160</v>
      </c>
      <c r="B55" s="5" t="s">
        <v>161</v>
      </c>
      <c r="C55" s="6"/>
      <c r="D55" s="7"/>
      <c r="E55" s="7"/>
      <c r="F55" s="8">
        <f>sum(F56,F65)</f>
        <v>5</v>
      </c>
      <c r="G55" s="7" t="s">
        <v>10</v>
      </c>
      <c r="H55" s="7"/>
      <c r="I55" s="20"/>
      <c r="J55" s="20"/>
      <c r="K55" s="20"/>
      <c r="L55" s="20"/>
      <c r="M55" s="20"/>
      <c r="N55" s="20"/>
      <c r="O55" s="20"/>
      <c r="P55" s="20"/>
      <c r="Q55" s="20"/>
      <c r="R55" s="20"/>
      <c r="S55" s="20"/>
      <c r="T55" s="20"/>
      <c r="U55" s="20"/>
      <c r="V55" s="20"/>
      <c r="W55" s="20"/>
      <c r="X55" s="20"/>
      <c r="Y55" s="20"/>
      <c r="Z55" s="20"/>
    </row>
    <row r="56" ht="42.75" customHeight="1">
      <c r="A56" s="11" t="s">
        <v>162</v>
      </c>
      <c r="B56" s="12" t="s">
        <v>163</v>
      </c>
      <c r="C56" s="22" t="s">
        <v>164</v>
      </c>
      <c r="D56" s="12"/>
      <c r="E56" s="12"/>
      <c r="F56" s="15">
        <f>sum(F57:F63)</f>
        <v>3</v>
      </c>
      <c r="G56" s="12" t="s">
        <v>10</v>
      </c>
      <c r="H56" s="28"/>
      <c r="I56" s="20"/>
      <c r="J56" s="20"/>
      <c r="K56" s="20"/>
      <c r="L56" s="20"/>
      <c r="M56" s="20"/>
      <c r="N56" s="20"/>
      <c r="O56" s="20"/>
      <c r="P56" s="20"/>
      <c r="Q56" s="20"/>
      <c r="R56" s="20"/>
      <c r="S56" s="20"/>
      <c r="T56" s="20"/>
      <c r="U56" s="20"/>
      <c r="V56" s="20"/>
      <c r="W56" s="20"/>
      <c r="X56" s="20"/>
      <c r="Y56" s="20"/>
      <c r="Z56" s="20"/>
    </row>
    <row r="57" ht="47.25" customHeight="1">
      <c r="A57" s="16" t="s">
        <v>165</v>
      </c>
      <c r="B57" s="17" t="s">
        <v>166</v>
      </c>
      <c r="C57" s="18"/>
      <c r="D57" s="17"/>
      <c r="E57" s="17" t="s">
        <v>167</v>
      </c>
      <c r="F57" s="18">
        <v>1.0</v>
      </c>
      <c r="G57" s="17" t="s">
        <v>10</v>
      </c>
      <c r="H57" s="17"/>
      <c r="I57" s="20"/>
      <c r="J57" s="20"/>
      <c r="K57" s="20"/>
      <c r="L57" s="20"/>
      <c r="M57" s="20"/>
      <c r="N57" s="20"/>
      <c r="O57" s="20"/>
      <c r="P57" s="20"/>
      <c r="Q57" s="20"/>
      <c r="R57" s="20"/>
      <c r="S57" s="20"/>
      <c r="T57" s="20"/>
      <c r="U57" s="20"/>
      <c r="V57" s="20"/>
      <c r="W57" s="20"/>
      <c r="X57" s="20"/>
      <c r="Y57" s="20"/>
      <c r="Z57" s="20"/>
    </row>
    <row r="58" ht="42.0" customHeight="1">
      <c r="A58" s="16" t="s">
        <v>168</v>
      </c>
      <c r="B58" s="17" t="s">
        <v>169</v>
      </c>
      <c r="C58" s="18"/>
      <c r="D58" s="17"/>
      <c r="E58" s="17" t="s">
        <v>170</v>
      </c>
      <c r="F58" s="18">
        <v>0.5</v>
      </c>
      <c r="G58" s="17" t="s">
        <v>10</v>
      </c>
      <c r="H58" s="17"/>
      <c r="I58" s="20"/>
      <c r="J58" s="20"/>
      <c r="K58" s="20"/>
      <c r="L58" s="20"/>
      <c r="M58" s="20"/>
      <c r="N58" s="20"/>
      <c r="O58" s="20"/>
      <c r="P58" s="20"/>
      <c r="Q58" s="20"/>
      <c r="R58" s="20"/>
      <c r="S58" s="20"/>
      <c r="T58" s="20"/>
      <c r="U58" s="20"/>
      <c r="V58" s="20"/>
      <c r="W58" s="20"/>
      <c r="X58" s="20"/>
      <c r="Y58" s="20"/>
      <c r="Z58" s="20"/>
    </row>
    <row r="59" ht="42.0" customHeight="1">
      <c r="A59" s="16" t="s">
        <v>171</v>
      </c>
      <c r="B59" s="17" t="s">
        <v>172</v>
      </c>
      <c r="C59" s="18"/>
      <c r="D59" s="17"/>
      <c r="E59" s="17" t="s">
        <v>173</v>
      </c>
      <c r="F59" s="18"/>
      <c r="G59" s="17"/>
      <c r="H59" s="17"/>
      <c r="I59" s="20"/>
      <c r="J59" s="20"/>
      <c r="K59" s="20"/>
      <c r="L59" s="20"/>
      <c r="M59" s="20"/>
      <c r="N59" s="20"/>
      <c r="O59" s="20"/>
      <c r="P59" s="20"/>
      <c r="Q59" s="20"/>
      <c r="R59" s="20"/>
      <c r="S59" s="20"/>
      <c r="T59" s="20"/>
      <c r="U59" s="20"/>
      <c r="V59" s="20"/>
      <c r="W59" s="20"/>
      <c r="X59" s="20"/>
      <c r="Y59" s="20"/>
      <c r="Z59" s="20"/>
    </row>
    <row r="60" ht="48.75" customHeight="1">
      <c r="A60" s="16" t="s">
        <v>174</v>
      </c>
      <c r="B60" s="17" t="s">
        <v>175</v>
      </c>
      <c r="C60" s="18"/>
      <c r="D60" s="17"/>
      <c r="E60" s="17" t="s">
        <v>176</v>
      </c>
      <c r="F60" s="18">
        <v>0.5</v>
      </c>
      <c r="G60" s="17" t="s">
        <v>10</v>
      </c>
      <c r="H60" s="17"/>
      <c r="I60" s="29"/>
      <c r="J60" s="29"/>
      <c r="K60" s="29"/>
      <c r="L60" s="29"/>
      <c r="M60" s="29"/>
      <c r="N60" s="29"/>
      <c r="O60" s="29"/>
      <c r="P60" s="29"/>
      <c r="Q60" s="29"/>
      <c r="R60" s="29"/>
      <c r="S60" s="29"/>
      <c r="T60" s="29"/>
      <c r="U60" s="29"/>
      <c r="V60" s="29"/>
      <c r="W60" s="29"/>
      <c r="X60" s="29"/>
      <c r="Y60" s="29"/>
      <c r="Z60" s="29"/>
    </row>
    <row r="61" ht="90.75" customHeight="1">
      <c r="A61" s="16" t="s">
        <v>177</v>
      </c>
      <c r="B61" s="17" t="s">
        <v>178</v>
      </c>
      <c r="C61" s="18"/>
      <c r="D61" s="17"/>
      <c r="E61" s="17" t="s">
        <v>179</v>
      </c>
      <c r="F61" s="18">
        <v>0.5</v>
      </c>
      <c r="G61" s="17" t="s">
        <v>10</v>
      </c>
      <c r="H61" s="17"/>
      <c r="I61" s="20"/>
      <c r="J61" s="20"/>
      <c r="K61" s="20"/>
      <c r="L61" s="20"/>
      <c r="M61" s="20"/>
      <c r="N61" s="20"/>
      <c r="O61" s="20"/>
      <c r="P61" s="20"/>
      <c r="Q61" s="20"/>
      <c r="R61" s="20"/>
      <c r="S61" s="20"/>
      <c r="T61" s="20"/>
      <c r="U61" s="20"/>
      <c r="V61" s="20"/>
      <c r="W61" s="20"/>
      <c r="X61" s="20"/>
      <c r="Y61" s="20"/>
      <c r="Z61" s="20"/>
    </row>
    <row r="62" ht="63.0" customHeight="1">
      <c r="A62" s="16" t="s">
        <v>180</v>
      </c>
      <c r="B62" s="17" t="s">
        <v>181</v>
      </c>
      <c r="C62" s="18"/>
      <c r="D62" s="17"/>
      <c r="E62" s="17" t="s">
        <v>182</v>
      </c>
      <c r="F62" s="18"/>
      <c r="G62" s="17"/>
      <c r="H62" s="17"/>
      <c r="I62" s="20"/>
      <c r="J62" s="20"/>
      <c r="K62" s="20"/>
      <c r="L62" s="20"/>
      <c r="M62" s="20"/>
      <c r="N62" s="20"/>
      <c r="O62" s="20"/>
      <c r="P62" s="20"/>
      <c r="Q62" s="20"/>
      <c r="R62" s="20"/>
      <c r="S62" s="20"/>
      <c r="T62" s="20"/>
      <c r="U62" s="20"/>
      <c r="V62" s="20"/>
      <c r="W62" s="20"/>
      <c r="X62" s="20"/>
      <c r="Y62" s="20"/>
      <c r="Z62" s="20"/>
    </row>
    <row r="63" ht="66.75" customHeight="1">
      <c r="A63" s="16" t="s">
        <v>183</v>
      </c>
      <c r="B63" s="17" t="s">
        <v>184</v>
      </c>
      <c r="C63" s="18"/>
      <c r="D63" s="17"/>
      <c r="E63" s="17" t="s">
        <v>185</v>
      </c>
      <c r="F63" s="18">
        <v>0.5</v>
      </c>
      <c r="G63" s="17" t="s">
        <v>10</v>
      </c>
      <c r="H63" s="17"/>
      <c r="I63" s="20"/>
      <c r="J63" s="20"/>
      <c r="K63" s="20"/>
      <c r="L63" s="20"/>
      <c r="M63" s="20"/>
      <c r="N63" s="20"/>
      <c r="O63" s="20"/>
      <c r="P63" s="20"/>
      <c r="Q63" s="20"/>
      <c r="R63" s="20"/>
      <c r="S63" s="20"/>
      <c r="T63" s="20"/>
      <c r="U63" s="20"/>
      <c r="V63" s="20"/>
      <c r="W63" s="20"/>
      <c r="X63" s="20"/>
      <c r="Y63" s="20"/>
      <c r="Z63" s="20"/>
    </row>
    <row r="64" ht="36.0" customHeight="1">
      <c r="A64" s="16" t="s">
        <v>186</v>
      </c>
      <c r="B64" s="17" t="s">
        <v>187</v>
      </c>
      <c r="C64" s="18"/>
      <c r="D64" s="17"/>
      <c r="E64" s="17" t="s">
        <v>188</v>
      </c>
      <c r="F64" s="18"/>
      <c r="G64" s="17"/>
      <c r="H64" s="17"/>
      <c r="I64" s="10"/>
      <c r="J64" s="10"/>
      <c r="K64" s="10"/>
      <c r="L64" s="10"/>
      <c r="M64" s="10"/>
      <c r="N64" s="10"/>
      <c r="O64" s="10"/>
      <c r="P64" s="10"/>
      <c r="Q64" s="10"/>
      <c r="R64" s="10"/>
      <c r="S64" s="10"/>
      <c r="T64" s="10"/>
      <c r="U64" s="10"/>
      <c r="V64" s="10"/>
      <c r="W64" s="10"/>
      <c r="X64" s="10"/>
      <c r="Y64" s="10"/>
      <c r="Z64" s="10"/>
    </row>
    <row r="65" ht="39.75" customHeight="1">
      <c r="A65" s="11" t="s">
        <v>189</v>
      </c>
      <c r="B65" s="12" t="s">
        <v>190</v>
      </c>
      <c r="C65" s="22" t="s">
        <v>116</v>
      </c>
      <c r="D65" s="12"/>
      <c r="E65" s="12"/>
      <c r="F65" s="15">
        <f>sum(F66:F67)</f>
        <v>2</v>
      </c>
      <c r="G65" s="12" t="s">
        <v>10</v>
      </c>
      <c r="H65" s="28"/>
      <c r="I65" s="10"/>
      <c r="J65" s="10"/>
      <c r="K65" s="10"/>
      <c r="L65" s="10"/>
      <c r="M65" s="10"/>
      <c r="N65" s="10"/>
      <c r="O65" s="10"/>
      <c r="P65" s="10"/>
      <c r="Q65" s="10"/>
      <c r="R65" s="10"/>
      <c r="S65" s="10"/>
      <c r="T65" s="10"/>
      <c r="U65" s="10"/>
      <c r="V65" s="10"/>
      <c r="W65" s="10"/>
      <c r="X65" s="10"/>
      <c r="Y65" s="10"/>
      <c r="Z65" s="10"/>
    </row>
    <row r="66" ht="137.25" customHeight="1">
      <c r="A66" s="16" t="s">
        <v>191</v>
      </c>
      <c r="B66" s="17" t="s">
        <v>192</v>
      </c>
      <c r="C66" s="18"/>
      <c r="D66" s="17"/>
      <c r="E66" s="17" t="s">
        <v>193</v>
      </c>
      <c r="F66" s="18">
        <v>1.0</v>
      </c>
      <c r="G66" s="17" t="s">
        <v>10</v>
      </c>
      <c r="H66" s="17"/>
      <c r="I66" s="10"/>
      <c r="J66" s="10"/>
      <c r="K66" s="10"/>
      <c r="L66" s="10"/>
      <c r="M66" s="10"/>
      <c r="N66" s="10"/>
      <c r="O66" s="10"/>
      <c r="P66" s="10"/>
      <c r="Q66" s="10"/>
      <c r="R66" s="10"/>
      <c r="S66" s="10"/>
      <c r="T66" s="10"/>
      <c r="U66" s="10"/>
      <c r="V66" s="10"/>
      <c r="W66" s="10"/>
      <c r="X66" s="10"/>
      <c r="Y66" s="10"/>
      <c r="Z66" s="10"/>
    </row>
    <row r="67" ht="65.25" customHeight="1">
      <c r="A67" s="16" t="s">
        <v>194</v>
      </c>
      <c r="B67" s="17" t="s">
        <v>195</v>
      </c>
      <c r="C67" s="18"/>
      <c r="D67" s="17"/>
      <c r="E67" s="26" t="s">
        <v>196</v>
      </c>
      <c r="F67" s="18">
        <v>1.0</v>
      </c>
      <c r="G67" s="17" t="s">
        <v>10</v>
      </c>
      <c r="H67" s="17"/>
      <c r="I67" s="20"/>
      <c r="J67" s="20"/>
      <c r="K67" s="20"/>
      <c r="L67" s="20"/>
      <c r="M67" s="20"/>
      <c r="N67" s="20"/>
      <c r="O67" s="20"/>
      <c r="P67" s="20"/>
      <c r="Q67" s="20"/>
      <c r="R67" s="20"/>
      <c r="S67" s="20"/>
      <c r="T67" s="20"/>
      <c r="U67" s="20"/>
      <c r="V67" s="20"/>
      <c r="W67" s="20"/>
      <c r="X67" s="20"/>
      <c r="Y67" s="20"/>
      <c r="Z67" s="20"/>
    </row>
    <row r="68" ht="42.75" customHeight="1">
      <c r="A68" s="4" t="s">
        <v>160</v>
      </c>
      <c r="B68" s="5" t="s">
        <v>161</v>
      </c>
      <c r="C68" s="6"/>
      <c r="D68" s="7"/>
      <c r="E68" s="7"/>
      <c r="F68" s="8">
        <f>sum(F69,F73,F77,F81)</f>
        <v>5.5</v>
      </c>
      <c r="G68" s="7" t="s">
        <v>197</v>
      </c>
      <c r="H68" s="7"/>
      <c r="I68" s="10"/>
      <c r="J68" s="10"/>
      <c r="K68" s="10"/>
      <c r="L68" s="10"/>
      <c r="M68" s="10"/>
      <c r="N68" s="10"/>
      <c r="O68" s="10"/>
      <c r="P68" s="10"/>
      <c r="Q68" s="10"/>
      <c r="R68" s="10"/>
      <c r="S68" s="10"/>
      <c r="T68" s="10"/>
      <c r="U68" s="10"/>
      <c r="V68" s="10"/>
      <c r="W68" s="10"/>
      <c r="X68" s="10"/>
      <c r="Y68" s="10"/>
      <c r="Z68" s="10"/>
    </row>
    <row r="69" ht="39.0" customHeight="1">
      <c r="A69" s="11" t="s">
        <v>198</v>
      </c>
      <c r="B69" s="12" t="s">
        <v>199</v>
      </c>
      <c r="C69" s="22" t="s">
        <v>164</v>
      </c>
      <c r="D69" s="13"/>
      <c r="E69" s="13"/>
      <c r="F69" s="22">
        <v>1.5</v>
      </c>
      <c r="G69" s="13" t="s">
        <v>197</v>
      </c>
      <c r="H69" s="13"/>
      <c r="I69" s="20"/>
      <c r="J69" s="20"/>
      <c r="K69" s="20"/>
      <c r="L69" s="20"/>
      <c r="M69" s="20"/>
      <c r="N69" s="20"/>
      <c r="O69" s="20"/>
      <c r="P69" s="20"/>
      <c r="Q69" s="20"/>
      <c r="R69" s="20"/>
      <c r="S69" s="20"/>
      <c r="T69" s="20"/>
      <c r="U69" s="20"/>
      <c r="V69" s="20"/>
      <c r="W69" s="20"/>
      <c r="X69" s="20"/>
      <c r="Y69" s="20"/>
      <c r="Z69" s="20"/>
    </row>
    <row r="70" ht="57.75" customHeight="1">
      <c r="A70" s="16" t="s">
        <v>200</v>
      </c>
      <c r="B70" s="17" t="s">
        <v>201</v>
      </c>
      <c r="C70" s="18"/>
      <c r="D70" s="17"/>
      <c r="E70" s="17" t="s">
        <v>202</v>
      </c>
      <c r="F70" s="18">
        <v>0.5</v>
      </c>
      <c r="G70" s="17" t="s">
        <v>197</v>
      </c>
      <c r="H70" s="17"/>
      <c r="I70" s="20"/>
      <c r="J70" s="20"/>
      <c r="K70" s="20"/>
      <c r="L70" s="20"/>
      <c r="M70" s="20"/>
      <c r="N70" s="20"/>
      <c r="O70" s="20"/>
      <c r="P70" s="20"/>
      <c r="Q70" s="20"/>
      <c r="R70" s="20"/>
      <c r="S70" s="20"/>
      <c r="T70" s="20"/>
      <c r="U70" s="20"/>
      <c r="V70" s="20"/>
      <c r="W70" s="20"/>
      <c r="X70" s="20"/>
      <c r="Y70" s="20"/>
      <c r="Z70" s="20"/>
    </row>
    <row r="71" ht="45.0" customHeight="1">
      <c r="A71" s="16" t="s">
        <v>203</v>
      </c>
      <c r="B71" s="17" t="s">
        <v>204</v>
      </c>
      <c r="C71" s="18"/>
      <c r="D71" s="17"/>
      <c r="E71" s="17" t="s">
        <v>205</v>
      </c>
      <c r="F71" s="18">
        <v>0.5</v>
      </c>
      <c r="G71" s="17" t="s">
        <v>197</v>
      </c>
      <c r="H71" s="17"/>
      <c r="I71" s="20"/>
      <c r="J71" s="20"/>
      <c r="K71" s="20"/>
      <c r="L71" s="20"/>
      <c r="M71" s="20"/>
      <c r="N71" s="20"/>
      <c r="O71" s="20"/>
      <c r="P71" s="20"/>
      <c r="Q71" s="20"/>
      <c r="R71" s="20"/>
      <c r="S71" s="20"/>
      <c r="T71" s="20"/>
      <c r="U71" s="20"/>
      <c r="V71" s="20"/>
      <c r="W71" s="20"/>
      <c r="X71" s="20"/>
      <c r="Y71" s="20"/>
      <c r="Z71" s="20"/>
    </row>
    <row r="72" ht="45.75" customHeight="1">
      <c r="A72" s="16" t="s">
        <v>206</v>
      </c>
      <c r="B72" s="17" t="s">
        <v>207</v>
      </c>
      <c r="C72" s="18"/>
      <c r="D72" s="17"/>
      <c r="E72" s="17" t="s">
        <v>208</v>
      </c>
      <c r="F72" s="18">
        <v>0.5</v>
      </c>
      <c r="G72" s="17" t="s">
        <v>197</v>
      </c>
      <c r="H72" s="17"/>
      <c r="I72" s="10"/>
      <c r="J72" s="10"/>
      <c r="K72" s="10"/>
      <c r="L72" s="10"/>
      <c r="M72" s="10"/>
      <c r="N72" s="10"/>
      <c r="O72" s="10"/>
      <c r="P72" s="10"/>
      <c r="Q72" s="10"/>
      <c r="R72" s="10"/>
      <c r="S72" s="10"/>
      <c r="T72" s="10"/>
      <c r="U72" s="10"/>
      <c r="V72" s="10"/>
      <c r="W72" s="10"/>
      <c r="X72" s="10"/>
      <c r="Y72" s="10"/>
      <c r="Z72" s="10"/>
    </row>
    <row r="73" ht="46.5" customHeight="1">
      <c r="A73" s="11" t="s">
        <v>209</v>
      </c>
      <c r="B73" s="12" t="s">
        <v>210</v>
      </c>
      <c r="C73" s="22" t="s">
        <v>107</v>
      </c>
      <c r="D73" s="13"/>
      <c r="E73" s="13"/>
      <c r="F73" s="22">
        <v>1.5</v>
      </c>
      <c r="G73" s="13" t="s">
        <v>197</v>
      </c>
      <c r="H73" s="13"/>
      <c r="I73" s="20"/>
      <c r="J73" s="20"/>
      <c r="K73" s="20"/>
      <c r="L73" s="20"/>
      <c r="M73" s="20"/>
      <c r="N73" s="20"/>
      <c r="O73" s="20"/>
      <c r="P73" s="20"/>
      <c r="Q73" s="20"/>
      <c r="R73" s="20"/>
      <c r="S73" s="20"/>
      <c r="T73" s="20"/>
      <c r="U73" s="20"/>
      <c r="V73" s="20"/>
      <c r="W73" s="20"/>
      <c r="X73" s="20"/>
      <c r="Y73" s="20"/>
      <c r="Z73" s="20"/>
    </row>
    <row r="74" ht="15.75" customHeight="1">
      <c r="A74" s="16" t="s">
        <v>211</v>
      </c>
      <c r="B74" s="17" t="s">
        <v>212</v>
      </c>
      <c r="C74" s="18"/>
      <c r="D74" s="17"/>
      <c r="E74" s="17" t="s">
        <v>213</v>
      </c>
      <c r="F74" s="18">
        <v>0.5</v>
      </c>
      <c r="G74" s="17" t="s">
        <v>197</v>
      </c>
      <c r="H74" s="17"/>
      <c r="I74" s="20"/>
      <c r="J74" s="20"/>
      <c r="K74" s="20"/>
      <c r="L74" s="20"/>
      <c r="M74" s="20"/>
      <c r="N74" s="20"/>
      <c r="O74" s="20"/>
      <c r="P74" s="20"/>
      <c r="Q74" s="20"/>
      <c r="R74" s="20"/>
      <c r="S74" s="20"/>
      <c r="T74" s="20"/>
      <c r="U74" s="20"/>
      <c r="V74" s="20"/>
      <c r="W74" s="20"/>
      <c r="X74" s="20"/>
      <c r="Y74" s="20"/>
      <c r="Z74" s="20"/>
    </row>
    <row r="75" ht="47.25" customHeight="1">
      <c r="A75" s="16" t="s">
        <v>214</v>
      </c>
      <c r="B75" s="17" t="s">
        <v>215</v>
      </c>
      <c r="C75" s="18"/>
      <c r="D75" s="17"/>
      <c r="E75" s="17" t="s">
        <v>216</v>
      </c>
      <c r="F75" s="18">
        <v>0.5</v>
      </c>
      <c r="G75" s="17" t="s">
        <v>197</v>
      </c>
      <c r="H75" s="17"/>
      <c r="I75" s="20"/>
      <c r="J75" s="20"/>
      <c r="K75" s="20"/>
      <c r="L75" s="20"/>
      <c r="M75" s="20"/>
      <c r="N75" s="20"/>
      <c r="O75" s="20"/>
      <c r="P75" s="20"/>
      <c r="Q75" s="20"/>
      <c r="R75" s="20"/>
      <c r="S75" s="20"/>
      <c r="T75" s="20"/>
      <c r="U75" s="20"/>
      <c r="V75" s="20"/>
      <c r="W75" s="20"/>
      <c r="X75" s="20"/>
      <c r="Y75" s="20"/>
      <c r="Z75" s="20"/>
    </row>
    <row r="76" ht="42.0" customHeight="1">
      <c r="A76" s="16" t="s">
        <v>217</v>
      </c>
      <c r="B76" s="17" t="s">
        <v>218</v>
      </c>
      <c r="C76" s="18"/>
      <c r="D76" s="17"/>
      <c r="E76" s="17" t="s">
        <v>219</v>
      </c>
      <c r="F76" s="18">
        <v>0.5</v>
      </c>
      <c r="G76" s="17" t="s">
        <v>197</v>
      </c>
      <c r="H76" s="17"/>
      <c r="I76" s="10"/>
      <c r="J76" s="10"/>
      <c r="K76" s="10"/>
      <c r="L76" s="10"/>
      <c r="M76" s="10"/>
      <c r="N76" s="10"/>
      <c r="O76" s="10"/>
      <c r="P76" s="10"/>
      <c r="Q76" s="10"/>
      <c r="R76" s="10"/>
      <c r="S76" s="10"/>
      <c r="T76" s="10"/>
      <c r="U76" s="10"/>
      <c r="V76" s="10"/>
      <c r="W76" s="10"/>
      <c r="X76" s="10"/>
      <c r="Y76" s="10"/>
      <c r="Z76" s="10"/>
    </row>
    <row r="77" ht="44.25" customHeight="1">
      <c r="A77" s="11" t="s">
        <v>220</v>
      </c>
      <c r="B77" s="12" t="s">
        <v>221</v>
      </c>
      <c r="C77" s="22" t="s">
        <v>116</v>
      </c>
      <c r="D77" s="13"/>
      <c r="E77" s="13"/>
      <c r="F77" s="22">
        <f>sum(F78:F80)</f>
        <v>1.5</v>
      </c>
      <c r="G77" s="13" t="s">
        <v>197</v>
      </c>
      <c r="H77" s="13"/>
      <c r="I77" s="10"/>
      <c r="J77" s="10"/>
      <c r="K77" s="10"/>
      <c r="L77" s="10"/>
      <c r="M77" s="10"/>
      <c r="N77" s="10"/>
      <c r="O77" s="10"/>
      <c r="P77" s="10"/>
      <c r="Q77" s="10"/>
      <c r="R77" s="10"/>
      <c r="S77" s="10"/>
      <c r="T77" s="10"/>
      <c r="U77" s="10"/>
      <c r="V77" s="10"/>
      <c r="W77" s="10"/>
      <c r="X77" s="10"/>
      <c r="Y77" s="10"/>
      <c r="Z77" s="10"/>
    </row>
    <row r="78" ht="36.0" customHeight="1">
      <c r="A78" s="16" t="s">
        <v>222</v>
      </c>
      <c r="B78" s="17" t="s">
        <v>223</v>
      </c>
      <c r="C78" s="18"/>
      <c r="D78" s="17"/>
      <c r="E78" s="17" t="s">
        <v>224</v>
      </c>
      <c r="F78" s="18">
        <v>0.5</v>
      </c>
      <c r="G78" s="17" t="s">
        <v>197</v>
      </c>
      <c r="H78" s="17"/>
      <c r="I78" s="10"/>
      <c r="J78" s="10"/>
      <c r="K78" s="10"/>
      <c r="L78" s="10"/>
      <c r="M78" s="10"/>
      <c r="N78" s="10"/>
      <c r="O78" s="10"/>
      <c r="P78" s="10"/>
      <c r="Q78" s="10"/>
      <c r="R78" s="10"/>
      <c r="S78" s="10"/>
      <c r="T78" s="10"/>
      <c r="U78" s="10"/>
      <c r="V78" s="10"/>
      <c r="W78" s="10"/>
      <c r="X78" s="10"/>
      <c r="Y78" s="10"/>
      <c r="Z78" s="10"/>
    </row>
    <row r="79" ht="42.75" customHeight="1">
      <c r="A79" s="16" t="s">
        <v>225</v>
      </c>
      <c r="B79" s="17" t="s">
        <v>226</v>
      </c>
      <c r="C79" s="18"/>
      <c r="D79" s="17"/>
      <c r="E79" s="17" t="s">
        <v>227</v>
      </c>
      <c r="F79" s="18">
        <v>0.5</v>
      </c>
      <c r="G79" s="17" t="s">
        <v>197</v>
      </c>
      <c r="H79" s="17"/>
      <c r="I79" s="20"/>
      <c r="J79" s="20"/>
      <c r="K79" s="20"/>
      <c r="L79" s="20"/>
      <c r="M79" s="20"/>
      <c r="N79" s="20"/>
      <c r="O79" s="20"/>
      <c r="P79" s="20"/>
      <c r="Q79" s="20"/>
      <c r="R79" s="20"/>
      <c r="S79" s="20"/>
      <c r="T79" s="20"/>
      <c r="U79" s="20"/>
      <c r="V79" s="20"/>
      <c r="W79" s="20"/>
      <c r="X79" s="20"/>
      <c r="Y79" s="20"/>
      <c r="Z79" s="20"/>
    </row>
    <row r="80" ht="43.5" customHeight="1">
      <c r="A80" s="16" t="s">
        <v>228</v>
      </c>
      <c r="B80" s="17" t="s">
        <v>229</v>
      </c>
      <c r="C80" s="18"/>
      <c r="D80" s="17"/>
      <c r="E80" s="17" t="s">
        <v>230</v>
      </c>
      <c r="F80" s="18">
        <v>0.5</v>
      </c>
      <c r="G80" s="17" t="s">
        <v>197</v>
      </c>
      <c r="H80" s="17"/>
      <c r="I80" s="20"/>
      <c r="J80" s="20"/>
      <c r="K80" s="20"/>
      <c r="L80" s="20"/>
      <c r="M80" s="20"/>
      <c r="N80" s="20"/>
      <c r="O80" s="20"/>
      <c r="P80" s="20"/>
      <c r="Q80" s="20"/>
      <c r="R80" s="20"/>
      <c r="S80" s="20"/>
      <c r="T80" s="20"/>
      <c r="U80" s="20"/>
      <c r="V80" s="20"/>
      <c r="W80" s="20"/>
      <c r="X80" s="20"/>
      <c r="Y80" s="20"/>
      <c r="Z80" s="20"/>
    </row>
    <row r="81" ht="45.0" customHeight="1">
      <c r="A81" s="11" t="s">
        <v>231</v>
      </c>
      <c r="B81" s="12" t="s">
        <v>232</v>
      </c>
      <c r="C81" s="22" t="s">
        <v>116</v>
      </c>
      <c r="D81" s="13"/>
      <c r="E81" s="13" t="s">
        <v>233</v>
      </c>
      <c r="F81" s="22">
        <v>1.0</v>
      </c>
      <c r="G81" s="13" t="s">
        <v>197</v>
      </c>
      <c r="H81" s="13"/>
      <c r="I81" s="20"/>
      <c r="J81" s="20"/>
      <c r="K81" s="20"/>
      <c r="L81" s="20"/>
      <c r="M81" s="20"/>
      <c r="N81" s="20"/>
      <c r="O81" s="20"/>
      <c r="P81" s="20"/>
      <c r="Q81" s="20"/>
      <c r="R81" s="20"/>
      <c r="S81" s="20"/>
      <c r="T81" s="20"/>
      <c r="U81" s="20"/>
      <c r="V81" s="20"/>
      <c r="W81" s="20"/>
      <c r="X81" s="20"/>
      <c r="Y81" s="20"/>
      <c r="Z81" s="20"/>
    </row>
    <row r="82" ht="41.25" customHeight="1">
      <c r="A82" s="4" t="s">
        <v>234</v>
      </c>
      <c r="B82" s="5" t="s">
        <v>235</v>
      </c>
      <c r="C82" s="6" t="s">
        <v>95</v>
      </c>
      <c r="D82" s="7"/>
      <c r="E82" s="7"/>
      <c r="F82" s="6">
        <f>sum(F83,F90)</f>
        <v>5.5</v>
      </c>
      <c r="G82" s="7" t="s">
        <v>197</v>
      </c>
      <c r="H82" s="7"/>
      <c r="I82" s="20"/>
      <c r="J82" s="20"/>
      <c r="K82" s="20"/>
      <c r="L82" s="20"/>
      <c r="M82" s="20"/>
      <c r="N82" s="20"/>
      <c r="O82" s="20"/>
      <c r="P82" s="20"/>
      <c r="Q82" s="20"/>
      <c r="R82" s="20"/>
      <c r="S82" s="20"/>
      <c r="T82" s="20"/>
      <c r="U82" s="20"/>
      <c r="V82" s="20"/>
      <c r="W82" s="20"/>
      <c r="X82" s="20"/>
      <c r="Y82" s="20"/>
      <c r="Z82" s="20"/>
    </row>
    <row r="83" ht="46.5" customHeight="1">
      <c r="A83" s="11" t="s">
        <v>236</v>
      </c>
      <c r="B83" s="12" t="s">
        <v>237</v>
      </c>
      <c r="C83" s="22"/>
      <c r="D83" s="13"/>
      <c r="E83" s="13"/>
      <c r="F83" s="22">
        <f>sum(F84:F89)</f>
        <v>3.5</v>
      </c>
      <c r="G83" s="13" t="s">
        <v>197</v>
      </c>
      <c r="H83" s="13"/>
      <c r="I83" s="20"/>
      <c r="J83" s="20"/>
      <c r="K83" s="20"/>
      <c r="L83" s="20"/>
      <c r="M83" s="20"/>
      <c r="N83" s="20"/>
      <c r="O83" s="20"/>
      <c r="P83" s="20"/>
      <c r="Q83" s="20"/>
      <c r="R83" s="20"/>
      <c r="S83" s="20"/>
      <c r="T83" s="20"/>
      <c r="U83" s="20"/>
      <c r="V83" s="20"/>
      <c r="W83" s="20"/>
      <c r="X83" s="20"/>
      <c r="Y83" s="20"/>
      <c r="Z83" s="20"/>
    </row>
    <row r="84" ht="48.0" customHeight="1">
      <c r="A84" s="16" t="s">
        <v>238</v>
      </c>
      <c r="B84" s="17" t="s">
        <v>239</v>
      </c>
      <c r="C84" s="18"/>
      <c r="D84" s="17"/>
      <c r="E84" s="17" t="s">
        <v>240</v>
      </c>
      <c r="F84" s="18">
        <v>0.5</v>
      </c>
      <c r="G84" s="17" t="s">
        <v>197</v>
      </c>
      <c r="H84" s="17"/>
      <c r="I84" s="20"/>
      <c r="J84" s="20"/>
      <c r="K84" s="20"/>
      <c r="L84" s="20"/>
      <c r="M84" s="20"/>
      <c r="N84" s="20"/>
      <c r="O84" s="20"/>
      <c r="P84" s="20"/>
      <c r="Q84" s="20"/>
      <c r="R84" s="20"/>
      <c r="S84" s="20"/>
      <c r="T84" s="20"/>
      <c r="U84" s="20"/>
      <c r="V84" s="20"/>
      <c r="W84" s="20"/>
      <c r="X84" s="20"/>
      <c r="Y84" s="20"/>
      <c r="Z84" s="20"/>
    </row>
    <row r="85" ht="15.75" customHeight="1">
      <c r="A85" s="16" t="s">
        <v>241</v>
      </c>
      <c r="B85" s="17" t="s">
        <v>242</v>
      </c>
      <c r="C85" s="18"/>
      <c r="D85" s="17"/>
      <c r="E85" s="17" t="s">
        <v>243</v>
      </c>
      <c r="F85" s="18">
        <v>1.0</v>
      </c>
      <c r="G85" s="17" t="s">
        <v>197</v>
      </c>
      <c r="H85" s="17"/>
      <c r="I85" s="10"/>
      <c r="J85" s="10"/>
      <c r="K85" s="10"/>
      <c r="L85" s="10"/>
      <c r="M85" s="10"/>
      <c r="N85" s="10"/>
      <c r="O85" s="10"/>
      <c r="P85" s="10"/>
      <c r="Q85" s="10"/>
      <c r="R85" s="10"/>
      <c r="S85" s="10"/>
      <c r="T85" s="10"/>
      <c r="U85" s="10"/>
      <c r="V85" s="10"/>
      <c r="W85" s="10"/>
      <c r="X85" s="10"/>
      <c r="Y85" s="10"/>
      <c r="Z85" s="10"/>
    </row>
    <row r="86" ht="59.25" customHeight="1">
      <c r="A86" s="16" t="s">
        <v>244</v>
      </c>
      <c r="B86" s="17" t="s">
        <v>245</v>
      </c>
      <c r="C86" s="18"/>
      <c r="D86" s="17"/>
      <c r="E86" s="17" t="s">
        <v>246</v>
      </c>
      <c r="F86" s="18">
        <v>0.5</v>
      </c>
      <c r="G86" s="17" t="s">
        <v>197</v>
      </c>
      <c r="H86" s="17"/>
      <c r="I86" s="20"/>
      <c r="J86" s="20"/>
      <c r="K86" s="20"/>
      <c r="L86" s="20"/>
      <c r="M86" s="20"/>
      <c r="N86" s="20"/>
      <c r="O86" s="20"/>
      <c r="P86" s="20"/>
      <c r="Q86" s="20"/>
      <c r="R86" s="20"/>
      <c r="S86" s="20"/>
      <c r="T86" s="20"/>
      <c r="U86" s="20"/>
      <c r="V86" s="20"/>
      <c r="W86" s="20"/>
      <c r="X86" s="20"/>
      <c r="Y86" s="20"/>
      <c r="Z86" s="20"/>
    </row>
    <row r="87" ht="43.5" customHeight="1">
      <c r="A87" s="16" t="s">
        <v>247</v>
      </c>
      <c r="B87" s="17" t="s">
        <v>248</v>
      </c>
      <c r="C87" s="18"/>
      <c r="D87" s="17"/>
      <c r="E87" s="17" t="s">
        <v>249</v>
      </c>
      <c r="F87" s="18">
        <v>0.5</v>
      </c>
      <c r="G87" s="17" t="s">
        <v>197</v>
      </c>
      <c r="H87" s="17"/>
      <c r="I87" s="20"/>
      <c r="J87" s="20"/>
      <c r="K87" s="20"/>
      <c r="L87" s="20"/>
      <c r="M87" s="20"/>
      <c r="N87" s="20"/>
      <c r="O87" s="20"/>
      <c r="P87" s="20"/>
      <c r="Q87" s="20"/>
      <c r="R87" s="20"/>
      <c r="S87" s="20"/>
      <c r="T87" s="20"/>
      <c r="U87" s="20"/>
      <c r="V87" s="20"/>
      <c r="W87" s="20"/>
      <c r="X87" s="20"/>
      <c r="Y87" s="20"/>
      <c r="Z87" s="20"/>
    </row>
    <row r="88" ht="15.75" customHeight="1">
      <c r="A88" s="16" t="s">
        <v>250</v>
      </c>
      <c r="B88" s="17" t="s">
        <v>251</v>
      </c>
      <c r="C88" s="18"/>
      <c r="D88" s="17"/>
      <c r="E88" s="17" t="s">
        <v>252</v>
      </c>
      <c r="F88" s="18">
        <v>0.5</v>
      </c>
      <c r="G88" s="17" t="s">
        <v>197</v>
      </c>
      <c r="H88" s="17"/>
      <c r="I88" s="10"/>
      <c r="J88" s="10"/>
      <c r="K88" s="10"/>
      <c r="L88" s="10"/>
      <c r="M88" s="10"/>
      <c r="N88" s="10"/>
      <c r="O88" s="10"/>
      <c r="P88" s="10"/>
      <c r="Q88" s="10"/>
      <c r="R88" s="10"/>
      <c r="S88" s="10"/>
      <c r="T88" s="10"/>
      <c r="U88" s="10"/>
      <c r="V88" s="10"/>
      <c r="W88" s="10"/>
      <c r="X88" s="10"/>
      <c r="Y88" s="10"/>
      <c r="Z88" s="10"/>
    </row>
    <row r="89" ht="33.75" customHeight="1">
      <c r="A89" s="16" t="s">
        <v>253</v>
      </c>
      <c r="B89" s="17" t="s">
        <v>254</v>
      </c>
      <c r="C89" s="18"/>
      <c r="D89" s="17"/>
      <c r="E89" s="17" t="s">
        <v>255</v>
      </c>
      <c r="F89" s="18">
        <v>0.5</v>
      </c>
      <c r="G89" s="17" t="s">
        <v>197</v>
      </c>
      <c r="H89" s="17"/>
      <c r="I89" s="10"/>
      <c r="J89" s="10"/>
      <c r="K89" s="10"/>
      <c r="L89" s="10"/>
      <c r="M89" s="10"/>
      <c r="N89" s="10"/>
      <c r="O89" s="10"/>
      <c r="P89" s="10"/>
      <c r="Q89" s="10"/>
      <c r="R89" s="10"/>
      <c r="S89" s="10"/>
      <c r="T89" s="10"/>
      <c r="U89" s="10"/>
      <c r="V89" s="10"/>
      <c r="W89" s="10"/>
      <c r="X89" s="10"/>
      <c r="Y89" s="10"/>
      <c r="Z89" s="10"/>
    </row>
    <row r="90" ht="57.0" customHeight="1">
      <c r="A90" s="25" t="s">
        <v>256</v>
      </c>
      <c r="B90" s="12" t="s">
        <v>257</v>
      </c>
      <c r="C90" s="22"/>
      <c r="D90" s="13"/>
      <c r="E90" s="13"/>
      <c r="F90" s="22">
        <f>sum(F91:F92)</f>
        <v>2</v>
      </c>
      <c r="G90" s="13" t="s">
        <v>197</v>
      </c>
      <c r="H90" s="13"/>
      <c r="I90" s="20"/>
      <c r="J90" s="20"/>
      <c r="K90" s="20"/>
      <c r="L90" s="20"/>
      <c r="M90" s="20"/>
      <c r="N90" s="20"/>
      <c r="O90" s="20"/>
      <c r="P90" s="20"/>
      <c r="Q90" s="20"/>
      <c r="R90" s="20"/>
      <c r="S90" s="20"/>
      <c r="T90" s="20"/>
      <c r="U90" s="20"/>
      <c r="V90" s="20"/>
      <c r="W90" s="20"/>
      <c r="X90" s="20"/>
      <c r="Y90" s="20"/>
      <c r="Z90" s="20"/>
    </row>
    <row r="91" ht="44.25" customHeight="1">
      <c r="A91" s="16" t="s">
        <v>258</v>
      </c>
      <c r="B91" s="17" t="s">
        <v>259</v>
      </c>
      <c r="C91" s="18"/>
      <c r="D91" s="17"/>
      <c r="E91" s="17" t="s">
        <v>260</v>
      </c>
      <c r="F91" s="18">
        <v>1.0</v>
      </c>
      <c r="G91" s="17" t="s">
        <v>197</v>
      </c>
      <c r="H91" s="17"/>
      <c r="I91" s="20"/>
      <c r="J91" s="20"/>
      <c r="K91" s="20"/>
      <c r="L91" s="20"/>
      <c r="M91" s="20"/>
      <c r="N91" s="20"/>
      <c r="O91" s="20"/>
      <c r="P91" s="20"/>
      <c r="Q91" s="20"/>
      <c r="R91" s="20"/>
      <c r="S91" s="20"/>
      <c r="T91" s="20"/>
      <c r="U91" s="20"/>
      <c r="V91" s="20"/>
      <c r="W91" s="20"/>
      <c r="X91" s="20"/>
      <c r="Y91" s="20"/>
      <c r="Z91" s="20"/>
    </row>
    <row r="92" ht="42.0" customHeight="1">
      <c r="A92" s="16" t="s">
        <v>261</v>
      </c>
      <c r="B92" s="17" t="s">
        <v>262</v>
      </c>
      <c r="C92" s="18"/>
      <c r="D92" s="17"/>
      <c r="E92" s="17" t="s">
        <v>263</v>
      </c>
      <c r="F92" s="18">
        <v>1.0</v>
      </c>
      <c r="G92" s="17" t="s">
        <v>197</v>
      </c>
      <c r="H92" s="17"/>
      <c r="I92" s="20"/>
      <c r="J92" s="20"/>
      <c r="K92" s="20"/>
      <c r="L92" s="20"/>
      <c r="M92" s="20"/>
      <c r="N92" s="20"/>
      <c r="O92" s="20"/>
      <c r="P92" s="20"/>
      <c r="Q92" s="20"/>
      <c r="R92" s="20"/>
      <c r="S92" s="20"/>
      <c r="T92" s="20"/>
      <c r="U92" s="20"/>
      <c r="V92" s="20"/>
      <c r="W92" s="20"/>
      <c r="X92" s="20"/>
      <c r="Y92" s="20"/>
      <c r="Z92" s="20"/>
    </row>
    <row r="93" ht="44.25" customHeight="1">
      <c r="A93" s="4" t="s">
        <v>264</v>
      </c>
      <c r="B93" s="5" t="s">
        <v>265</v>
      </c>
      <c r="C93" s="6" t="s">
        <v>266</v>
      </c>
      <c r="D93" s="7"/>
      <c r="E93" s="7"/>
      <c r="F93" s="6">
        <f>sum(F94,F99)</f>
        <v>3.5</v>
      </c>
      <c r="G93" s="7" t="s">
        <v>197</v>
      </c>
      <c r="H93" s="7"/>
      <c r="I93" s="20"/>
      <c r="J93" s="20"/>
      <c r="K93" s="20"/>
      <c r="L93" s="20"/>
      <c r="M93" s="20"/>
      <c r="N93" s="20"/>
      <c r="O93" s="20"/>
      <c r="P93" s="20"/>
      <c r="Q93" s="20"/>
      <c r="R93" s="20"/>
      <c r="S93" s="20"/>
      <c r="T93" s="20"/>
      <c r="U93" s="20"/>
      <c r="V93" s="20"/>
      <c r="W93" s="20"/>
      <c r="X93" s="20"/>
      <c r="Y93" s="20"/>
      <c r="Z93" s="20"/>
    </row>
    <row r="94" ht="59.25" customHeight="1">
      <c r="A94" s="25" t="s">
        <v>267</v>
      </c>
      <c r="B94" s="12" t="s">
        <v>268</v>
      </c>
      <c r="C94" s="22"/>
      <c r="D94" s="13"/>
      <c r="E94" s="13"/>
      <c r="F94" s="22">
        <f>sum(F95:F98)</f>
        <v>2.5</v>
      </c>
      <c r="G94" s="13" t="s">
        <v>197</v>
      </c>
      <c r="H94" s="13"/>
      <c r="I94" s="10"/>
      <c r="J94" s="10"/>
      <c r="K94" s="10"/>
      <c r="L94" s="10"/>
      <c r="M94" s="10"/>
      <c r="N94" s="10"/>
      <c r="O94" s="10"/>
      <c r="P94" s="10"/>
      <c r="Q94" s="10"/>
      <c r="R94" s="10"/>
      <c r="S94" s="10"/>
      <c r="T94" s="10"/>
      <c r="U94" s="10"/>
      <c r="V94" s="10"/>
      <c r="W94" s="10"/>
      <c r="X94" s="10"/>
      <c r="Y94" s="10"/>
      <c r="Z94" s="10"/>
    </row>
    <row r="95" ht="42.75" customHeight="1">
      <c r="A95" s="16" t="s">
        <v>269</v>
      </c>
      <c r="B95" s="17" t="s">
        <v>270</v>
      </c>
      <c r="C95" s="18"/>
      <c r="D95" s="17"/>
      <c r="E95" s="17" t="s">
        <v>271</v>
      </c>
      <c r="F95" s="18">
        <v>1.0</v>
      </c>
      <c r="G95" s="17" t="s">
        <v>197</v>
      </c>
      <c r="H95" s="17"/>
      <c r="I95" s="10"/>
      <c r="J95" s="10"/>
      <c r="K95" s="10"/>
      <c r="L95" s="10"/>
      <c r="M95" s="10"/>
      <c r="N95" s="10"/>
      <c r="O95" s="10"/>
      <c r="P95" s="10"/>
      <c r="Q95" s="10"/>
      <c r="R95" s="10"/>
      <c r="S95" s="10"/>
      <c r="T95" s="10"/>
      <c r="U95" s="10"/>
      <c r="V95" s="10"/>
      <c r="W95" s="10"/>
      <c r="X95" s="10"/>
      <c r="Y95" s="10"/>
      <c r="Z95" s="10"/>
    </row>
    <row r="96" ht="15.75" customHeight="1">
      <c r="A96" s="16" t="s">
        <v>272</v>
      </c>
      <c r="B96" s="17" t="s">
        <v>273</v>
      </c>
      <c r="C96" s="18"/>
      <c r="D96" s="17"/>
      <c r="E96" s="17" t="s">
        <v>274</v>
      </c>
      <c r="F96" s="18">
        <v>0.5</v>
      </c>
      <c r="G96" s="17" t="s">
        <v>197</v>
      </c>
      <c r="H96" s="17"/>
      <c r="I96" s="10"/>
      <c r="J96" s="10"/>
      <c r="K96" s="10"/>
      <c r="L96" s="10"/>
      <c r="M96" s="10"/>
      <c r="N96" s="10"/>
      <c r="O96" s="10"/>
      <c r="P96" s="10"/>
      <c r="Q96" s="10"/>
      <c r="R96" s="10"/>
      <c r="S96" s="10"/>
      <c r="T96" s="10"/>
      <c r="U96" s="10"/>
      <c r="V96" s="10"/>
      <c r="W96" s="10"/>
      <c r="X96" s="10"/>
      <c r="Y96" s="10"/>
      <c r="Z96" s="10"/>
    </row>
    <row r="97" ht="59.25" customHeight="1">
      <c r="A97" s="16" t="s">
        <v>275</v>
      </c>
      <c r="B97" s="17" t="s">
        <v>276</v>
      </c>
      <c r="C97" s="18"/>
      <c r="D97" s="17"/>
      <c r="E97" s="17" t="s">
        <v>277</v>
      </c>
      <c r="F97" s="18">
        <v>0.5</v>
      </c>
      <c r="G97" s="17" t="s">
        <v>197</v>
      </c>
      <c r="H97" s="17"/>
      <c r="I97" s="20"/>
      <c r="J97" s="20"/>
      <c r="K97" s="20"/>
      <c r="L97" s="20"/>
      <c r="M97" s="20"/>
      <c r="N97" s="20"/>
      <c r="O97" s="20"/>
      <c r="P97" s="20"/>
      <c r="Q97" s="20"/>
      <c r="R97" s="20"/>
      <c r="S97" s="20"/>
      <c r="T97" s="20"/>
      <c r="U97" s="20"/>
      <c r="V97" s="20"/>
      <c r="W97" s="20"/>
      <c r="X97" s="20"/>
      <c r="Y97" s="20"/>
      <c r="Z97" s="20"/>
    </row>
    <row r="98" ht="45.75" customHeight="1">
      <c r="A98" s="16" t="s">
        <v>278</v>
      </c>
      <c r="B98" s="17" t="s">
        <v>279</v>
      </c>
      <c r="C98" s="18"/>
      <c r="D98" s="17"/>
      <c r="E98" s="17" t="s">
        <v>280</v>
      </c>
      <c r="F98" s="18">
        <v>0.5</v>
      </c>
      <c r="G98" s="17" t="s">
        <v>197</v>
      </c>
      <c r="H98" s="17"/>
      <c r="I98" s="20"/>
      <c r="J98" s="20"/>
      <c r="K98" s="20"/>
      <c r="L98" s="20"/>
      <c r="M98" s="20"/>
      <c r="N98" s="20"/>
      <c r="O98" s="20"/>
      <c r="P98" s="20"/>
      <c r="Q98" s="20"/>
      <c r="R98" s="20"/>
      <c r="S98" s="20"/>
      <c r="T98" s="20"/>
      <c r="U98" s="20"/>
      <c r="V98" s="20"/>
      <c r="W98" s="20"/>
      <c r="X98" s="20"/>
      <c r="Y98" s="20"/>
      <c r="Z98" s="20"/>
    </row>
    <row r="99" ht="44.25" customHeight="1">
      <c r="A99" s="11" t="s">
        <v>281</v>
      </c>
      <c r="B99" s="12" t="s">
        <v>282</v>
      </c>
      <c r="C99" s="22"/>
      <c r="D99" s="13"/>
      <c r="E99" s="13" t="s">
        <v>283</v>
      </c>
      <c r="F99" s="22">
        <v>1.0</v>
      </c>
      <c r="G99" s="13" t="s">
        <v>197</v>
      </c>
      <c r="H99" s="13"/>
      <c r="I99" s="20"/>
      <c r="J99" s="20"/>
      <c r="K99" s="20"/>
      <c r="L99" s="20"/>
      <c r="M99" s="20"/>
      <c r="N99" s="20"/>
      <c r="O99" s="20"/>
      <c r="P99" s="20"/>
      <c r="Q99" s="20"/>
      <c r="R99" s="20"/>
      <c r="S99" s="20"/>
      <c r="T99" s="20"/>
      <c r="U99" s="20"/>
      <c r="V99" s="20"/>
      <c r="W99" s="20"/>
      <c r="X99" s="20"/>
      <c r="Y99" s="20"/>
      <c r="Z99" s="20"/>
    </row>
    <row r="100" ht="15.75" customHeight="1">
      <c r="A100" s="4" t="s">
        <v>284</v>
      </c>
      <c r="B100" s="5" t="s">
        <v>285</v>
      </c>
      <c r="C100" s="6" t="s">
        <v>286</v>
      </c>
      <c r="D100" s="7"/>
      <c r="E100" s="7"/>
      <c r="F100" s="6">
        <f>sum(F101,F105)</f>
        <v>3</v>
      </c>
      <c r="G100" s="7" t="s">
        <v>197</v>
      </c>
      <c r="H100" s="7"/>
      <c r="I100" s="10"/>
      <c r="J100" s="10"/>
      <c r="K100" s="10"/>
      <c r="L100" s="10"/>
      <c r="M100" s="10"/>
      <c r="N100" s="10"/>
      <c r="O100" s="10"/>
      <c r="P100" s="10"/>
      <c r="Q100" s="10"/>
      <c r="R100" s="10"/>
      <c r="S100" s="10"/>
      <c r="T100" s="10"/>
      <c r="U100" s="10"/>
      <c r="V100" s="10"/>
      <c r="W100" s="10"/>
      <c r="X100" s="10"/>
      <c r="Y100" s="10"/>
      <c r="Z100" s="10"/>
    </row>
    <row r="101" ht="42.0" customHeight="1">
      <c r="A101" s="11" t="s">
        <v>287</v>
      </c>
      <c r="B101" s="12" t="s">
        <v>288</v>
      </c>
      <c r="C101" s="22"/>
      <c r="D101" s="13"/>
      <c r="E101" s="13"/>
      <c r="F101" s="22">
        <f>sum(F102:F104)</f>
        <v>1.5</v>
      </c>
      <c r="G101" s="13" t="s">
        <v>197</v>
      </c>
      <c r="H101" s="13"/>
      <c r="I101" s="20"/>
      <c r="J101" s="20"/>
      <c r="K101" s="20"/>
      <c r="L101" s="20"/>
      <c r="M101" s="20"/>
      <c r="N101" s="20"/>
      <c r="O101" s="20"/>
      <c r="P101" s="20"/>
      <c r="Q101" s="20"/>
      <c r="R101" s="20"/>
      <c r="S101" s="20"/>
      <c r="T101" s="20"/>
      <c r="U101" s="20"/>
      <c r="V101" s="20"/>
      <c r="W101" s="20"/>
      <c r="X101" s="20"/>
      <c r="Y101" s="20"/>
      <c r="Z101" s="20"/>
    </row>
    <row r="102" ht="44.25" customHeight="1">
      <c r="A102" s="16" t="s">
        <v>289</v>
      </c>
      <c r="B102" s="17" t="s">
        <v>290</v>
      </c>
      <c r="C102" s="18"/>
      <c r="D102" s="17"/>
      <c r="E102" s="17" t="s">
        <v>291</v>
      </c>
      <c r="F102" s="18">
        <v>0.5</v>
      </c>
      <c r="G102" s="17" t="s">
        <v>197</v>
      </c>
      <c r="H102" s="17"/>
      <c r="I102" s="20"/>
      <c r="J102" s="20"/>
      <c r="K102" s="20"/>
      <c r="L102" s="20"/>
      <c r="M102" s="20"/>
      <c r="N102" s="20"/>
      <c r="O102" s="20"/>
      <c r="P102" s="20"/>
      <c r="Q102" s="20"/>
      <c r="R102" s="20"/>
      <c r="S102" s="20"/>
      <c r="T102" s="20"/>
      <c r="U102" s="20"/>
      <c r="V102" s="20"/>
      <c r="W102" s="20"/>
      <c r="X102" s="20"/>
      <c r="Y102" s="20"/>
      <c r="Z102" s="20"/>
    </row>
    <row r="103" ht="40.5" customHeight="1">
      <c r="A103" s="16" t="s">
        <v>292</v>
      </c>
      <c r="B103" s="17" t="s">
        <v>293</v>
      </c>
      <c r="C103" s="18"/>
      <c r="D103" s="17"/>
      <c r="E103" s="17" t="s">
        <v>294</v>
      </c>
      <c r="F103" s="18">
        <v>0.5</v>
      </c>
      <c r="G103" s="17" t="s">
        <v>197</v>
      </c>
      <c r="H103" s="17"/>
      <c r="I103" s="20"/>
      <c r="J103" s="20"/>
      <c r="K103" s="20"/>
      <c r="L103" s="20"/>
      <c r="M103" s="20"/>
      <c r="N103" s="20"/>
      <c r="O103" s="20"/>
      <c r="P103" s="20"/>
      <c r="Q103" s="20"/>
      <c r="R103" s="20"/>
      <c r="S103" s="20"/>
      <c r="T103" s="20"/>
      <c r="U103" s="20"/>
      <c r="V103" s="20"/>
      <c r="W103" s="20"/>
      <c r="X103" s="20"/>
      <c r="Y103" s="20"/>
      <c r="Z103" s="20"/>
    </row>
    <row r="104" ht="15.75" customHeight="1">
      <c r="A104" s="16" t="s">
        <v>295</v>
      </c>
      <c r="B104" s="17" t="s">
        <v>296</v>
      </c>
      <c r="C104" s="18"/>
      <c r="D104" s="17"/>
      <c r="E104" s="17" t="s">
        <v>297</v>
      </c>
      <c r="F104" s="18">
        <v>0.5</v>
      </c>
      <c r="G104" s="17" t="s">
        <v>197</v>
      </c>
      <c r="H104" s="17"/>
      <c r="I104" s="10"/>
      <c r="J104" s="10"/>
      <c r="K104" s="10"/>
      <c r="L104" s="10"/>
      <c r="M104" s="10"/>
      <c r="N104" s="10"/>
      <c r="O104" s="10"/>
      <c r="P104" s="10"/>
      <c r="Q104" s="10"/>
      <c r="R104" s="10"/>
      <c r="S104" s="10"/>
      <c r="T104" s="10"/>
      <c r="U104" s="10"/>
      <c r="V104" s="10"/>
      <c r="W104" s="10"/>
      <c r="X104" s="10"/>
      <c r="Y104" s="10"/>
      <c r="Z104" s="10"/>
    </row>
    <row r="105" ht="59.25" customHeight="1">
      <c r="A105" s="11" t="s">
        <v>298</v>
      </c>
      <c r="B105" s="12" t="s">
        <v>299</v>
      </c>
      <c r="C105" s="22"/>
      <c r="D105" s="13"/>
      <c r="E105" s="13"/>
      <c r="F105" s="22">
        <f>sum(F106:F108)</f>
        <v>1.5</v>
      </c>
      <c r="G105" s="13" t="s">
        <v>197</v>
      </c>
      <c r="H105" s="13"/>
      <c r="I105" s="20"/>
      <c r="J105" s="20"/>
      <c r="K105" s="20"/>
      <c r="L105" s="20"/>
      <c r="M105" s="20"/>
      <c r="N105" s="20"/>
      <c r="O105" s="20"/>
      <c r="P105" s="20"/>
      <c r="Q105" s="20"/>
      <c r="R105" s="20"/>
      <c r="S105" s="20"/>
      <c r="T105" s="20"/>
      <c r="U105" s="20"/>
      <c r="V105" s="20"/>
      <c r="W105" s="20"/>
      <c r="X105" s="20"/>
      <c r="Y105" s="20"/>
      <c r="Z105" s="20"/>
    </row>
    <row r="106" ht="60.0" customHeight="1">
      <c r="A106" s="16" t="s">
        <v>300</v>
      </c>
      <c r="B106" s="17" t="s">
        <v>301</v>
      </c>
      <c r="C106" s="18"/>
      <c r="D106" s="17"/>
      <c r="E106" s="17" t="s">
        <v>302</v>
      </c>
      <c r="F106" s="18">
        <v>0.5</v>
      </c>
      <c r="G106" s="17" t="s">
        <v>197</v>
      </c>
      <c r="H106" s="17"/>
      <c r="I106" s="20"/>
      <c r="J106" s="20"/>
      <c r="K106" s="20"/>
      <c r="L106" s="20"/>
      <c r="M106" s="20"/>
      <c r="N106" s="20"/>
      <c r="O106" s="20"/>
      <c r="P106" s="20"/>
      <c r="Q106" s="20"/>
      <c r="R106" s="20"/>
      <c r="S106" s="20"/>
      <c r="T106" s="20"/>
      <c r="U106" s="20"/>
      <c r="V106" s="20"/>
      <c r="W106" s="20"/>
      <c r="X106" s="20"/>
      <c r="Y106" s="20"/>
      <c r="Z106" s="20"/>
    </row>
    <row r="107" ht="44.25" customHeight="1">
      <c r="A107" s="16" t="s">
        <v>303</v>
      </c>
      <c r="B107" s="17" t="s">
        <v>304</v>
      </c>
      <c r="C107" s="18"/>
      <c r="D107" s="17"/>
      <c r="E107" s="17" t="s">
        <v>305</v>
      </c>
      <c r="F107" s="18">
        <v>0.5</v>
      </c>
      <c r="G107" s="17" t="s">
        <v>197</v>
      </c>
      <c r="H107" s="17"/>
      <c r="I107" s="20"/>
      <c r="J107" s="20"/>
      <c r="K107" s="20"/>
      <c r="L107" s="20"/>
      <c r="M107" s="20"/>
      <c r="N107" s="20"/>
      <c r="O107" s="20"/>
      <c r="P107" s="20"/>
      <c r="Q107" s="20"/>
      <c r="R107" s="20"/>
      <c r="S107" s="20"/>
      <c r="T107" s="20"/>
      <c r="U107" s="20"/>
      <c r="V107" s="20"/>
      <c r="W107" s="20"/>
      <c r="X107" s="20"/>
      <c r="Y107" s="20"/>
      <c r="Z107" s="20"/>
    </row>
    <row r="108" ht="45.75" customHeight="1">
      <c r="A108" s="16" t="s">
        <v>306</v>
      </c>
      <c r="B108" s="17" t="s">
        <v>307</v>
      </c>
      <c r="C108" s="18"/>
      <c r="D108" s="17"/>
      <c r="E108" s="17" t="s">
        <v>308</v>
      </c>
      <c r="F108" s="18">
        <v>0.5</v>
      </c>
      <c r="G108" s="17" t="s">
        <v>197</v>
      </c>
      <c r="H108" s="17"/>
      <c r="I108" s="20"/>
      <c r="J108" s="20"/>
      <c r="K108" s="20"/>
      <c r="L108" s="20"/>
      <c r="M108" s="20"/>
      <c r="N108" s="20"/>
      <c r="O108" s="20"/>
      <c r="P108" s="20"/>
      <c r="Q108" s="20"/>
      <c r="R108" s="20"/>
      <c r="S108" s="20"/>
      <c r="T108" s="20"/>
      <c r="U108" s="20"/>
      <c r="V108" s="20"/>
      <c r="W108" s="20"/>
      <c r="X108" s="20"/>
      <c r="Y108" s="20"/>
      <c r="Z108" s="20"/>
    </row>
    <row r="109" ht="43.5" customHeight="1">
      <c r="A109" s="4" t="s">
        <v>309</v>
      </c>
      <c r="B109" s="5" t="s">
        <v>310</v>
      </c>
      <c r="C109" s="6" t="s">
        <v>286</v>
      </c>
      <c r="D109" s="7"/>
      <c r="E109" s="7"/>
      <c r="F109" s="6">
        <f>sum(F110:F113)</f>
        <v>3.5</v>
      </c>
      <c r="G109" s="7" t="s">
        <v>197</v>
      </c>
      <c r="H109" s="7"/>
      <c r="I109" s="10"/>
      <c r="J109" s="10"/>
      <c r="K109" s="10"/>
      <c r="L109" s="10"/>
      <c r="M109" s="10"/>
      <c r="N109" s="10"/>
      <c r="O109" s="10"/>
      <c r="P109" s="10"/>
      <c r="Q109" s="10"/>
      <c r="R109" s="10"/>
      <c r="S109" s="10"/>
      <c r="T109" s="10"/>
      <c r="U109" s="10"/>
      <c r="V109" s="10"/>
      <c r="W109" s="10"/>
      <c r="X109" s="10"/>
      <c r="Y109" s="10"/>
      <c r="Z109" s="10"/>
    </row>
    <row r="110" ht="15.75" customHeight="1">
      <c r="A110" s="16" t="s">
        <v>311</v>
      </c>
      <c r="B110" s="17" t="s">
        <v>312</v>
      </c>
      <c r="C110" s="18"/>
      <c r="D110" s="17"/>
      <c r="E110" s="17" t="s">
        <v>313</v>
      </c>
      <c r="F110" s="18">
        <v>1.0</v>
      </c>
      <c r="G110" s="17" t="s">
        <v>197</v>
      </c>
      <c r="H110" s="17"/>
      <c r="I110" s="10"/>
      <c r="J110" s="10"/>
      <c r="K110" s="10"/>
      <c r="L110" s="10"/>
      <c r="M110" s="10"/>
      <c r="N110" s="10"/>
      <c r="O110" s="10"/>
      <c r="P110" s="10"/>
      <c r="Q110" s="10"/>
      <c r="R110" s="10"/>
      <c r="S110" s="10"/>
      <c r="T110" s="10"/>
      <c r="U110" s="10"/>
      <c r="V110" s="10"/>
      <c r="W110" s="10"/>
      <c r="X110" s="10"/>
      <c r="Y110" s="10"/>
      <c r="Z110" s="10"/>
    </row>
    <row r="111" ht="33.75" customHeight="1">
      <c r="A111" s="16" t="s">
        <v>314</v>
      </c>
      <c r="B111" s="17" t="s">
        <v>315</v>
      </c>
      <c r="C111" s="18"/>
      <c r="D111" s="17"/>
      <c r="E111" s="17" t="s">
        <v>316</v>
      </c>
      <c r="F111" s="18">
        <v>1.0</v>
      </c>
      <c r="G111" s="17" t="s">
        <v>197</v>
      </c>
      <c r="H111" s="17"/>
      <c r="I111" s="20"/>
      <c r="J111" s="20"/>
      <c r="K111" s="20"/>
      <c r="L111" s="20"/>
      <c r="M111" s="20"/>
      <c r="N111" s="20"/>
      <c r="O111" s="20"/>
      <c r="P111" s="20"/>
      <c r="Q111" s="20"/>
      <c r="R111" s="20"/>
      <c r="S111" s="20"/>
      <c r="T111" s="20"/>
      <c r="U111" s="20"/>
      <c r="V111" s="20"/>
      <c r="W111" s="20"/>
      <c r="X111" s="20"/>
      <c r="Y111" s="20"/>
      <c r="Z111" s="20"/>
    </row>
    <row r="112" ht="39.75" customHeight="1">
      <c r="A112" s="16" t="s">
        <v>317</v>
      </c>
      <c r="B112" s="17" t="s">
        <v>318</v>
      </c>
      <c r="C112" s="18"/>
      <c r="D112" s="17"/>
      <c r="E112" s="17" t="s">
        <v>319</v>
      </c>
      <c r="F112" s="18">
        <v>1.0</v>
      </c>
      <c r="G112" s="17" t="s">
        <v>197</v>
      </c>
      <c r="H112" s="17"/>
      <c r="I112" s="20"/>
      <c r="J112" s="20"/>
      <c r="K112" s="20"/>
      <c r="L112" s="20"/>
      <c r="M112" s="20"/>
      <c r="N112" s="20"/>
      <c r="O112" s="20"/>
      <c r="P112" s="20"/>
      <c r="Q112" s="20"/>
      <c r="R112" s="20"/>
      <c r="S112" s="20"/>
      <c r="T112" s="20"/>
      <c r="U112" s="20"/>
      <c r="V112" s="20"/>
      <c r="W112" s="20"/>
      <c r="X112" s="20"/>
      <c r="Y112" s="20"/>
      <c r="Z112" s="20"/>
    </row>
    <row r="113" ht="42.0" customHeight="1">
      <c r="A113" s="16" t="s">
        <v>320</v>
      </c>
      <c r="B113" s="17" t="s">
        <v>321</v>
      </c>
      <c r="C113" s="18"/>
      <c r="D113" s="17"/>
      <c r="E113" s="17" t="s">
        <v>322</v>
      </c>
      <c r="F113" s="18">
        <v>0.5</v>
      </c>
      <c r="G113" s="17" t="s">
        <v>197</v>
      </c>
      <c r="H113" s="17"/>
      <c r="I113" s="20"/>
      <c r="J113" s="20"/>
      <c r="K113" s="20"/>
      <c r="L113" s="20"/>
      <c r="M113" s="20"/>
      <c r="N113" s="20"/>
      <c r="O113" s="20"/>
      <c r="P113" s="20"/>
      <c r="Q113" s="20"/>
      <c r="R113" s="20"/>
      <c r="S113" s="20"/>
      <c r="T113" s="20"/>
      <c r="U113" s="20"/>
      <c r="V113" s="20"/>
      <c r="W113" s="20"/>
      <c r="X113" s="20"/>
      <c r="Y113" s="20"/>
      <c r="Z113" s="20"/>
    </row>
    <row r="114" ht="15.75" customHeight="1">
      <c r="A114" s="4" t="s">
        <v>323</v>
      </c>
      <c r="B114" s="5" t="s">
        <v>324</v>
      </c>
      <c r="C114" s="6" t="s">
        <v>95</v>
      </c>
      <c r="D114" s="7"/>
      <c r="E114" s="7"/>
      <c r="F114" s="6">
        <f>sum(F115,F119)</f>
        <v>2.5</v>
      </c>
      <c r="G114" s="7" t="s">
        <v>197</v>
      </c>
      <c r="H114" s="7"/>
      <c r="I114" s="10"/>
      <c r="J114" s="10"/>
      <c r="K114" s="10"/>
      <c r="L114" s="10"/>
      <c r="M114" s="10"/>
      <c r="N114" s="10"/>
      <c r="O114" s="10"/>
      <c r="P114" s="10"/>
      <c r="Q114" s="10"/>
      <c r="R114" s="10"/>
      <c r="S114" s="10"/>
      <c r="T114" s="10"/>
      <c r="U114" s="10"/>
      <c r="V114" s="10"/>
      <c r="W114" s="10"/>
      <c r="X114" s="10"/>
      <c r="Y114" s="10"/>
      <c r="Z114" s="10"/>
    </row>
    <row r="115" ht="39.0" customHeight="1">
      <c r="A115" s="11" t="s">
        <v>325</v>
      </c>
      <c r="B115" s="12" t="s">
        <v>326</v>
      </c>
      <c r="C115" s="22"/>
      <c r="D115" s="13"/>
      <c r="E115" s="13"/>
      <c r="F115" s="22">
        <f>sum(F116:F118)</f>
        <v>1.5</v>
      </c>
      <c r="G115" s="13" t="s">
        <v>197</v>
      </c>
      <c r="H115" s="13"/>
      <c r="I115" s="20"/>
      <c r="J115" s="20"/>
      <c r="K115" s="20"/>
      <c r="L115" s="20"/>
      <c r="M115" s="20"/>
      <c r="N115" s="20"/>
      <c r="O115" s="20"/>
      <c r="P115" s="20"/>
      <c r="Q115" s="20"/>
      <c r="R115" s="20"/>
      <c r="S115" s="20"/>
      <c r="T115" s="20"/>
      <c r="U115" s="20"/>
      <c r="V115" s="20"/>
      <c r="W115" s="20"/>
      <c r="X115" s="20"/>
      <c r="Y115" s="20"/>
      <c r="Z115" s="20"/>
    </row>
    <row r="116" ht="39.75" customHeight="1">
      <c r="A116" s="16" t="s">
        <v>327</v>
      </c>
      <c r="B116" s="17" t="s">
        <v>328</v>
      </c>
      <c r="C116" s="18"/>
      <c r="D116" s="17"/>
      <c r="E116" s="17" t="s">
        <v>329</v>
      </c>
      <c r="F116" s="18">
        <v>0.5</v>
      </c>
      <c r="G116" s="17" t="s">
        <v>197</v>
      </c>
      <c r="H116" s="17"/>
      <c r="I116" s="20"/>
      <c r="J116" s="20"/>
      <c r="K116" s="20"/>
      <c r="L116" s="20"/>
      <c r="M116" s="20"/>
      <c r="N116" s="20"/>
      <c r="O116" s="20"/>
      <c r="P116" s="20"/>
      <c r="Q116" s="20"/>
      <c r="R116" s="20"/>
      <c r="S116" s="20"/>
      <c r="T116" s="20"/>
      <c r="U116" s="20"/>
      <c r="V116" s="20"/>
      <c r="W116" s="20"/>
      <c r="X116" s="20"/>
      <c r="Y116" s="20"/>
      <c r="Z116" s="20"/>
    </row>
    <row r="117" ht="15.75" customHeight="1">
      <c r="A117" s="16" t="s">
        <v>330</v>
      </c>
      <c r="B117" s="17" t="s">
        <v>331</v>
      </c>
      <c r="C117" s="18"/>
      <c r="D117" s="17"/>
      <c r="E117" s="17" t="s">
        <v>332</v>
      </c>
      <c r="F117" s="18">
        <v>0.5</v>
      </c>
      <c r="G117" s="17" t="s">
        <v>197</v>
      </c>
      <c r="H117" s="17"/>
      <c r="I117" s="10"/>
      <c r="J117" s="10"/>
      <c r="K117" s="10"/>
      <c r="L117" s="10"/>
      <c r="M117" s="10"/>
      <c r="N117" s="10"/>
      <c r="O117" s="10"/>
      <c r="P117" s="10"/>
      <c r="Q117" s="10"/>
      <c r="R117" s="10"/>
      <c r="S117" s="10"/>
      <c r="T117" s="10"/>
      <c r="U117" s="10"/>
      <c r="V117" s="10"/>
      <c r="W117" s="10"/>
      <c r="X117" s="10"/>
      <c r="Y117" s="10"/>
      <c r="Z117" s="10"/>
    </row>
    <row r="118" ht="15.75" customHeight="1">
      <c r="A118" s="16" t="s">
        <v>333</v>
      </c>
      <c r="B118" s="17" t="s">
        <v>334</v>
      </c>
      <c r="C118" s="18"/>
      <c r="D118" s="17"/>
      <c r="E118" s="17" t="s">
        <v>335</v>
      </c>
      <c r="F118" s="18">
        <v>0.5</v>
      </c>
      <c r="G118" s="17" t="s">
        <v>197</v>
      </c>
      <c r="H118" s="17"/>
      <c r="I118" s="10"/>
      <c r="J118" s="10"/>
      <c r="K118" s="10"/>
      <c r="L118" s="10"/>
      <c r="M118" s="10"/>
      <c r="N118" s="10"/>
      <c r="O118" s="10"/>
      <c r="P118" s="10"/>
      <c r="Q118" s="10"/>
      <c r="R118" s="10"/>
      <c r="S118" s="10"/>
      <c r="T118" s="10"/>
      <c r="U118" s="10"/>
      <c r="V118" s="10"/>
      <c r="W118" s="10"/>
      <c r="X118" s="10"/>
      <c r="Y118" s="10"/>
      <c r="Z118" s="10"/>
    </row>
    <row r="119" ht="15.75" customHeight="1">
      <c r="A119" s="11" t="s">
        <v>336</v>
      </c>
      <c r="B119" s="12" t="s">
        <v>337</v>
      </c>
      <c r="C119" s="22"/>
      <c r="D119" s="13"/>
      <c r="E119" s="13"/>
      <c r="F119" s="22">
        <f>sum(F120:F121)</f>
        <v>1</v>
      </c>
      <c r="G119" s="13" t="s">
        <v>197</v>
      </c>
      <c r="H119" s="13"/>
      <c r="I119" s="10"/>
      <c r="J119" s="10"/>
      <c r="K119" s="10"/>
      <c r="L119" s="10"/>
      <c r="M119" s="10"/>
      <c r="N119" s="10"/>
      <c r="O119" s="10"/>
      <c r="P119" s="10"/>
      <c r="Q119" s="10"/>
      <c r="R119" s="10"/>
      <c r="S119" s="10"/>
      <c r="T119" s="10"/>
      <c r="U119" s="10"/>
      <c r="V119" s="10"/>
      <c r="W119" s="10"/>
      <c r="X119" s="10"/>
      <c r="Y119" s="10"/>
      <c r="Z119" s="10"/>
    </row>
    <row r="120" ht="15.75" customHeight="1">
      <c r="A120" s="16" t="s">
        <v>338</v>
      </c>
      <c r="B120" s="17" t="s">
        <v>339</v>
      </c>
      <c r="C120" s="18"/>
      <c r="D120" s="17"/>
      <c r="E120" s="17" t="s">
        <v>340</v>
      </c>
      <c r="F120" s="18">
        <v>0.5</v>
      </c>
      <c r="G120" s="17" t="s">
        <v>197</v>
      </c>
      <c r="H120" s="17"/>
      <c r="I120" s="10"/>
      <c r="J120" s="10"/>
      <c r="K120" s="10"/>
      <c r="L120" s="10"/>
      <c r="M120" s="10"/>
      <c r="N120" s="10"/>
      <c r="O120" s="10"/>
      <c r="P120" s="10"/>
      <c r="Q120" s="10"/>
      <c r="R120" s="10"/>
      <c r="S120" s="10"/>
      <c r="T120" s="10"/>
      <c r="U120" s="10"/>
      <c r="V120" s="10"/>
      <c r="W120" s="10"/>
      <c r="X120" s="10"/>
      <c r="Y120" s="10"/>
      <c r="Z120" s="10"/>
    </row>
    <row r="121" ht="15.75" customHeight="1">
      <c r="A121" s="16" t="s">
        <v>341</v>
      </c>
      <c r="B121" s="17" t="s">
        <v>342</v>
      </c>
      <c r="C121" s="18"/>
      <c r="D121" s="17"/>
      <c r="E121" s="17" t="s">
        <v>343</v>
      </c>
      <c r="F121" s="18">
        <v>0.5</v>
      </c>
      <c r="G121" s="17" t="s">
        <v>197</v>
      </c>
      <c r="H121" s="17"/>
      <c r="I121" s="10"/>
      <c r="J121" s="10"/>
      <c r="K121" s="10"/>
      <c r="L121" s="10"/>
      <c r="M121" s="10"/>
      <c r="N121" s="10"/>
      <c r="O121" s="10"/>
      <c r="P121" s="10"/>
      <c r="Q121" s="10"/>
      <c r="R121" s="10"/>
      <c r="S121" s="10"/>
      <c r="T121" s="10"/>
      <c r="U121" s="10"/>
      <c r="V121" s="10"/>
      <c r="W121" s="10"/>
      <c r="X121" s="10"/>
      <c r="Y121" s="10"/>
      <c r="Z121" s="10"/>
    </row>
    <row r="122" ht="15.75" customHeight="1">
      <c r="A122" s="34"/>
      <c r="B122" s="10"/>
      <c r="C122" s="35"/>
      <c r="D122" s="10"/>
      <c r="E122" s="36"/>
      <c r="F122" s="3"/>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34"/>
      <c r="B123" s="10"/>
      <c r="C123" s="35"/>
      <c r="D123" s="10"/>
      <c r="E123" s="36"/>
      <c r="F123" s="3"/>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34"/>
      <c r="B124" s="10"/>
      <c r="C124" s="35"/>
      <c r="D124" s="10"/>
      <c r="E124" s="36"/>
      <c r="F124" s="3"/>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34"/>
      <c r="B125" s="10"/>
      <c r="C125" s="35"/>
      <c r="D125" s="10"/>
      <c r="E125" s="36"/>
      <c r="F125" s="3"/>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34"/>
      <c r="B126" s="10"/>
      <c r="C126" s="35"/>
      <c r="D126" s="10"/>
      <c r="E126" s="36"/>
      <c r="F126" s="3"/>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34"/>
      <c r="B127" s="10"/>
      <c r="C127" s="35"/>
      <c r="D127" s="10"/>
      <c r="E127" s="36"/>
      <c r="F127" s="3"/>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34"/>
      <c r="B128" s="10"/>
      <c r="C128" s="35"/>
      <c r="D128" s="10"/>
      <c r="E128" s="36"/>
      <c r="F128" s="3"/>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34"/>
      <c r="B129" s="10"/>
      <c r="C129" s="35"/>
      <c r="D129" s="10"/>
      <c r="E129" s="36"/>
      <c r="F129" s="3"/>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34"/>
      <c r="B130" s="10"/>
      <c r="C130" s="35"/>
      <c r="D130" s="10"/>
      <c r="E130" s="36"/>
      <c r="F130" s="3"/>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34"/>
      <c r="B131" s="10"/>
      <c r="C131" s="35"/>
      <c r="D131" s="10"/>
      <c r="E131" s="36"/>
      <c r="F131" s="3"/>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34"/>
      <c r="B132" s="10"/>
      <c r="C132" s="35"/>
      <c r="D132" s="10"/>
      <c r="E132" s="36"/>
      <c r="F132" s="3"/>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34"/>
      <c r="B133" s="10"/>
      <c r="C133" s="35"/>
      <c r="D133" s="10"/>
      <c r="E133" s="36"/>
      <c r="F133" s="3"/>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34"/>
      <c r="B134" s="10"/>
      <c r="C134" s="35"/>
      <c r="D134" s="10"/>
      <c r="E134" s="36"/>
      <c r="F134" s="3"/>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34"/>
      <c r="B135" s="10"/>
      <c r="C135" s="35"/>
      <c r="D135" s="10"/>
      <c r="E135" s="36"/>
      <c r="F135" s="3"/>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34"/>
      <c r="B136" s="10"/>
      <c r="C136" s="35"/>
      <c r="D136" s="10"/>
      <c r="E136" s="36"/>
      <c r="F136" s="3"/>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37"/>
      <c r="B137" s="10"/>
      <c r="C137" s="35"/>
      <c r="D137" s="10"/>
      <c r="E137" s="36"/>
      <c r="F137" s="3"/>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37"/>
      <c r="B138" s="10"/>
      <c r="C138" s="35"/>
      <c r="D138" s="10"/>
      <c r="E138" s="36"/>
      <c r="F138" s="3"/>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37"/>
      <c r="B139" s="10"/>
      <c r="C139" s="35"/>
      <c r="D139" s="10"/>
      <c r="E139" s="36"/>
      <c r="F139" s="3"/>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37"/>
      <c r="B140" s="10"/>
      <c r="C140" s="35"/>
      <c r="D140" s="10"/>
      <c r="E140" s="36"/>
      <c r="F140" s="3"/>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37"/>
      <c r="B141" s="10"/>
      <c r="C141" s="35"/>
      <c r="D141" s="10"/>
      <c r="E141" s="36"/>
      <c r="F141" s="3"/>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37"/>
      <c r="B142" s="10"/>
      <c r="C142" s="35"/>
      <c r="D142" s="10"/>
      <c r="E142" s="36"/>
      <c r="F142" s="3"/>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37"/>
      <c r="B143" s="10"/>
      <c r="C143" s="35"/>
      <c r="D143" s="10"/>
      <c r="E143" s="36"/>
      <c r="F143" s="3"/>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37"/>
      <c r="B144" s="10"/>
      <c r="C144" s="35"/>
      <c r="D144" s="10"/>
      <c r="E144" s="36"/>
      <c r="F144" s="3"/>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37"/>
      <c r="B145" s="10"/>
      <c r="C145" s="35"/>
      <c r="D145" s="10"/>
      <c r="E145" s="36"/>
      <c r="F145" s="3"/>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37"/>
      <c r="B146" s="10"/>
      <c r="C146" s="35"/>
      <c r="D146" s="10"/>
      <c r="E146" s="36"/>
      <c r="F146" s="3"/>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37"/>
      <c r="B147" s="10"/>
      <c r="C147" s="35"/>
      <c r="D147" s="10"/>
      <c r="E147" s="36"/>
      <c r="F147" s="3"/>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37"/>
      <c r="B148" s="10"/>
      <c r="C148" s="35"/>
      <c r="D148" s="10"/>
      <c r="E148" s="36"/>
      <c r="F148" s="3"/>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37"/>
      <c r="B149" s="10"/>
      <c r="C149" s="35"/>
      <c r="D149" s="10"/>
      <c r="E149" s="36"/>
      <c r="F149" s="3"/>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37"/>
      <c r="B150" s="10"/>
      <c r="C150" s="35"/>
      <c r="D150" s="10"/>
      <c r="E150" s="36"/>
      <c r="F150" s="3"/>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37"/>
      <c r="B151" s="10"/>
      <c r="C151" s="35"/>
      <c r="D151" s="10"/>
      <c r="E151" s="36"/>
      <c r="F151" s="3"/>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37"/>
      <c r="B152" s="10"/>
      <c r="C152" s="35"/>
      <c r="D152" s="10"/>
      <c r="E152" s="36"/>
      <c r="F152" s="3"/>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37"/>
      <c r="B153" s="10"/>
      <c r="C153" s="35"/>
      <c r="D153" s="10"/>
      <c r="E153" s="36"/>
      <c r="F153" s="3"/>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37"/>
      <c r="B154" s="10"/>
      <c r="C154" s="35"/>
      <c r="D154" s="10"/>
      <c r="E154" s="36"/>
      <c r="F154" s="3"/>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37"/>
      <c r="B155" s="10"/>
      <c r="C155" s="35"/>
      <c r="D155" s="10"/>
      <c r="E155" s="36"/>
      <c r="F155" s="3"/>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37"/>
      <c r="B156" s="10"/>
      <c r="C156" s="35"/>
      <c r="D156" s="10"/>
      <c r="E156" s="36"/>
      <c r="F156" s="3"/>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37"/>
      <c r="B157" s="10"/>
      <c r="C157" s="35"/>
      <c r="D157" s="10"/>
      <c r="E157" s="36"/>
      <c r="F157" s="3"/>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37"/>
      <c r="B158" s="10"/>
      <c r="C158" s="35"/>
      <c r="D158" s="10"/>
      <c r="E158" s="36"/>
      <c r="F158" s="3"/>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37"/>
      <c r="B159" s="10"/>
      <c r="C159" s="35"/>
      <c r="D159" s="10"/>
      <c r="E159" s="36"/>
      <c r="F159" s="3"/>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37"/>
      <c r="B160" s="10"/>
      <c r="C160" s="35"/>
      <c r="D160" s="10"/>
      <c r="E160" s="36"/>
      <c r="F160" s="3"/>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37"/>
      <c r="B161" s="10"/>
      <c r="C161" s="35"/>
      <c r="D161" s="10"/>
      <c r="E161" s="36"/>
      <c r="F161" s="3"/>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37"/>
      <c r="B162" s="10"/>
      <c r="C162" s="35"/>
      <c r="D162" s="10"/>
      <c r="E162" s="36"/>
      <c r="F162" s="3"/>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37"/>
      <c r="B163" s="10"/>
      <c r="C163" s="35"/>
      <c r="D163" s="10"/>
      <c r="E163" s="36"/>
      <c r="F163" s="3"/>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37"/>
      <c r="B164" s="10"/>
      <c r="C164" s="35"/>
      <c r="D164" s="10"/>
      <c r="E164" s="36"/>
      <c r="F164" s="3"/>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37"/>
      <c r="B165" s="10"/>
      <c r="C165" s="35"/>
      <c r="D165" s="10"/>
      <c r="E165" s="36"/>
      <c r="F165" s="3"/>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37"/>
      <c r="B166" s="10"/>
      <c r="C166" s="35"/>
      <c r="D166" s="10"/>
      <c r="E166" s="36"/>
      <c r="F166" s="3"/>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37"/>
      <c r="B167" s="10"/>
      <c r="C167" s="35"/>
      <c r="D167" s="10"/>
      <c r="E167" s="36"/>
      <c r="F167" s="3"/>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37"/>
      <c r="B168" s="10"/>
      <c r="C168" s="35"/>
      <c r="D168" s="10"/>
      <c r="E168" s="36"/>
      <c r="F168" s="3"/>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37"/>
      <c r="B169" s="10"/>
      <c r="C169" s="35"/>
      <c r="D169" s="10"/>
      <c r="E169" s="36"/>
      <c r="F169" s="3"/>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37"/>
      <c r="B170" s="10"/>
      <c r="C170" s="35"/>
      <c r="D170" s="10"/>
      <c r="E170" s="36"/>
      <c r="F170" s="3"/>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37"/>
      <c r="B171" s="10"/>
      <c r="C171" s="35"/>
      <c r="D171" s="10"/>
      <c r="E171" s="36"/>
      <c r="F171" s="3"/>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37"/>
      <c r="B172" s="10"/>
      <c r="C172" s="35"/>
      <c r="D172" s="10"/>
      <c r="E172" s="36"/>
      <c r="F172" s="3"/>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37"/>
      <c r="B173" s="10"/>
      <c r="C173" s="35"/>
      <c r="D173" s="10"/>
      <c r="E173" s="36"/>
      <c r="F173" s="3"/>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37"/>
      <c r="B174" s="10"/>
      <c r="C174" s="35"/>
      <c r="D174" s="10"/>
      <c r="E174" s="36"/>
      <c r="F174" s="3"/>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37"/>
      <c r="B175" s="10"/>
      <c r="C175" s="35"/>
      <c r="D175" s="10"/>
      <c r="E175" s="36"/>
      <c r="F175" s="3"/>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37"/>
      <c r="B176" s="10"/>
      <c r="C176" s="35"/>
      <c r="D176" s="10"/>
      <c r="E176" s="36"/>
      <c r="F176" s="3"/>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37"/>
      <c r="B177" s="10"/>
      <c r="C177" s="35"/>
      <c r="D177" s="10"/>
      <c r="E177" s="36"/>
      <c r="F177" s="3"/>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37"/>
      <c r="B178" s="10"/>
      <c r="C178" s="35"/>
      <c r="D178" s="10"/>
      <c r="E178" s="36"/>
      <c r="F178" s="3"/>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37"/>
      <c r="B179" s="10"/>
      <c r="C179" s="35"/>
      <c r="D179" s="10"/>
      <c r="E179" s="36"/>
      <c r="F179" s="3"/>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37"/>
      <c r="B180" s="10"/>
      <c r="C180" s="35"/>
      <c r="D180" s="10"/>
      <c r="E180" s="36"/>
      <c r="F180" s="3"/>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37"/>
      <c r="B181" s="10"/>
      <c r="C181" s="35"/>
      <c r="D181" s="10"/>
      <c r="E181" s="36"/>
      <c r="F181" s="3"/>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37"/>
      <c r="B182" s="10"/>
      <c r="C182" s="35"/>
      <c r="D182" s="10"/>
      <c r="E182" s="36"/>
      <c r="F182" s="3"/>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37"/>
      <c r="B183" s="10"/>
      <c r="C183" s="35"/>
      <c r="D183" s="10"/>
      <c r="E183" s="36"/>
      <c r="F183" s="3"/>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37"/>
      <c r="B184" s="10"/>
      <c r="C184" s="35"/>
      <c r="D184" s="10"/>
      <c r="E184" s="36"/>
      <c r="F184" s="3"/>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37"/>
      <c r="B185" s="10"/>
      <c r="C185" s="35"/>
      <c r="D185" s="10"/>
      <c r="E185" s="36"/>
      <c r="F185" s="3"/>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37"/>
      <c r="B186" s="10"/>
      <c r="C186" s="35"/>
      <c r="D186" s="10"/>
      <c r="E186" s="36"/>
      <c r="F186" s="3"/>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37"/>
      <c r="B187" s="10"/>
      <c r="C187" s="35"/>
      <c r="D187" s="10"/>
      <c r="E187" s="36"/>
      <c r="F187" s="3"/>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37"/>
      <c r="B188" s="10"/>
      <c r="C188" s="35"/>
      <c r="D188" s="10"/>
      <c r="E188" s="36"/>
      <c r="F188" s="3"/>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37"/>
      <c r="B189" s="10"/>
      <c r="C189" s="35"/>
      <c r="D189" s="10"/>
      <c r="E189" s="36"/>
      <c r="F189" s="3"/>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37"/>
      <c r="B190" s="10"/>
      <c r="C190" s="35"/>
      <c r="D190" s="10"/>
      <c r="E190" s="36"/>
      <c r="F190" s="3"/>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37"/>
      <c r="B191" s="10"/>
      <c r="C191" s="35"/>
      <c r="D191" s="10"/>
      <c r="E191" s="36"/>
      <c r="F191" s="3"/>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37"/>
      <c r="B192" s="10"/>
      <c r="C192" s="35"/>
      <c r="D192" s="10"/>
      <c r="E192" s="36"/>
      <c r="F192" s="3"/>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37"/>
      <c r="B193" s="10"/>
      <c r="C193" s="35"/>
      <c r="D193" s="10"/>
      <c r="E193" s="36"/>
      <c r="F193" s="3"/>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37"/>
      <c r="B194" s="10"/>
      <c r="C194" s="35"/>
      <c r="D194" s="10"/>
      <c r="E194" s="36"/>
      <c r="F194" s="3"/>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37"/>
      <c r="B195" s="10"/>
      <c r="C195" s="35"/>
      <c r="D195" s="10"/>
      <c r="E195" s="36"/>
      <c r="F195" s="3"/>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37"/>
      <c r="B196" s="10"/>
      <c r="C196" s="35"/>
      <c r="D196" s="10"/>
      <c r="E196" s="36"/>
      <c r="F196" s="3"/>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37"/>
      <c r="B197" s="10"/>
      <c r="C197" s="35"/>
      <c r="D197" s="10"/>
      <c r="E197" s="36"/>
      <c r="F197" s="3"/>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37"/>
      <c r="B198" s="10"/>
      <c r="C198" s="35"/>
      <c r="D198" s="10"/>
      <c r="E198" s="36"/>
      <c r="F198" s="3"/>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37"/>
      <c r="B199" s="10"/>
      <c r="C199" s="35"/>
      <c r="D199" s="10"/>
      <c r="E199" s="36"/>
      <c r="F199" s="3"/>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37"/>
      <c r="B200" s="10"/>
      <c r="C200" s="35"/>
      <c r="D200" s="10"/>
      <c r="E200" s="36"/>
      <c r="F200" s="3"/>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37"/>
      <c r="B201" s="10"/>
      <c r="C201" s="35"/>
      <c r="D201" s="10"/>
      <c r="E201" s="36"/>
      <c r="F201" s="3"/>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37"/>
      <c r="B202" s="10"/>
      <c r="C202" s="35"/>
      <c r="D202" s="10"/>
      <c r="E202" s="36"/>
      <c r="F202" s="3"/>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37"/>
      <c r="B203" s="10"/>
      <c r="C203" s="35"/>
      <c r="D203" s="10"/>
      <c r="E203" s="36"/>
      <c r="F203" s="3"/>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37"/>
      <c r="B204" s="10"/>
      <c r="C204" s="35"/>
      <c r="D204" s="10"/>
      <c r="E204" s="36"/>
      <c r="F204" s="3"/>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37"/>
      <c r="B205" s="10"/>
      <c r="C205" s="35"/>
      <c r="D205" s="10"/>
      <c r="E205" s="36"/>
      <c r="F205" s="3"/>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37"/>
      <c r="B206" s="10"/>
      <c r="C206" s="35"/>
      <c r="D206" s="10"/>
      <c r="E206" s="36"/>
      <c r="F206" s="3"/>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37"/>
      <c r="B207" s="10"/>
      <c r="C207" s="35"/>
      <c r="D207" s="10"/>
      <c r="E207" s="36"/>
      <c r="F207" s="3"/>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37"/>
      <c r="B208" s="10"/>
      <c r="C208" s="35"/>
      <c r="D208" s="10"/>
      <c r="E208" s="36"/>
      <c r="F208" s="3"/>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37"/>
      <c r="B209" s="10"/>
      <c r="C209" s="35"/>
      <c r="D209" s="10"/>
      <c r="E209" s="36"/>
      <c r="F209" s="3"/>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37"/>
      <c r="B210" s="10"/>
      <c r="C210" s="35"/>
      <c r="D210" s="10"/>
      <c r="E210" s="36"/>
      <c r="F210" s="3"/>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37"/>
      <c r="B211" s="10"/>
      <c r="C211" s="35"/>
      <c r="D211" s="10"/>
      <c r="E211" s="36"/>
      <c r="F211" s="3"/>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37"/>
      <c r="B212" s="10"/>
      <c r="C212" s="35"/>
      <c r="D212" s="10"/>
      <c r="E212" s="36"/>
      <c r="F212" s="3"/>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37"/>
      <c r="B213" s="10"/>
      <c r="C213" s="35"/>
      <c r="D213" s="10"/>
      <c r="E213" s="36"/>
      <c r="F213" s="3"/>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37"/>
      <c r="B214" s="10"/>
      <c r="C214" s="35"/>
      <c r="D214" s="10"/>
      <c r="E214" s="36"/>
      <c r="F214" s="3"/>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37"/>
      <c r="B215" s="10"/>
      <c r="C215" s="35"/>
      <c r="D215" s="10"/>
      <c r="E215" s="36"/>
      <c r="F215" s="3"/>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37"/>
      <c r="B216" s="10"/>
      <c r="C216" s="35"/>
      <c r="D216" s="10"/>
      <c r="E216" s="36"/>
      <c r="F216" s="3"/>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37"/>
      <c r="B217" s="10"/>
      <c r="C217" s="35"/>
      <c r="D217" s="10"/>
      <c r="E217" s="36"/>
      <c r="F217" s="3"/>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37"/>
      <c r="B218" s="10"/>
      <c r="C218" s="35"/>
      <c r="D218" s="10"/>
      <c r="E218" s="36"/>
      <c r="F218" s="3"/>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37"/>
      <c r="B219" s="10"/>
      <c r="C219" s="35"/>
      <c r="D219" s="10"/>
      <c r="E219" s="36"/>
      <c r="F219" s="3"/>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37"/>
      <c r="B220" s="10"/>
      <c r="C220" s="35"/>
      <c r="D220" s="10"/>
      <c r="E220" s="36"/>
      <c r="F220" s="3"/>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37"/>
      <c r="B221" s="10"/>
      <c r="C221" s="35"/>
      <c r="D221" s="10"/>
      <c r="E221" s="36"/>
      <c r="F221" s="3"/>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37"/>
      <c r="B222" s="10"/>
      <c r="C222" s="35"/>
      <c r="D222" s="10"/>
      <c r="E222" s="36"/>
      <c r="F222" s="3"/>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37"/>
      <c r="B223" s="10"/>
      <c r="C223" s="35"/>
      <c r="D223" s="10"/>
      <c r="E223" s="36"/>
      <c r="F223" s="3"/>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37"/>
      <c r="B224" s="10"/>
      <c r="C224" s="35"/>
      <c r="D224" s="10"/>
      <c r="E224" s="36"/>
      <c r="F224" s="3"/>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37"/>
      <c r="B225" s="10"/>
      <c r="C225" s="35"/>
      <c r="D225" s="10"/>
      <c r="E225" s="36"/>
      <c r="F225" s="3"/>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37"/>
      <c r="B226" s="10"/>
      <c r="C226" s="35"/>
      <c r="D226" s="10"/>
      <c r="E226" s="36"/>
      <c r="F226" s="3"/>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37"/>
      <c r="B227" s="10"/>
      <c r="C227" s="35"/>
      <c r="D227" s="10"/>
      <c r="E227" s="36"/>
      <c r="F227" s="3"/>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37"/>
      <c r="B228" s="10"/>
      <c r="C228" s="35"/>
      <c r="D228" s="10"/>
      <c r="E228" s="36"/>
      <c r="F228" s="3"/>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37"/>
      <c r="B229" s="10"/>
      <c r="C229" s="35"/>
      <c r="D229" s="10"/>
      <c r="E229" s="36"/>
      <c r="F229" s="3"/>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37"/>
      <c r="B230" s="10"/>
      <c r="C230" s="35"/>
      <c r="D230" s="10"/>
      <c r="E230" s="36"/>
      <c r="F230" s="3"/>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37"/>
      <c r="B231" s="10"/>
      <c r="C231" s="35"/>
      <c r="D231" s="10"/>
      <c r="E231" s="36"/>
      <c r="F231" s="3"/>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37"/>
      <c r="B232" s="10"/>
      <c r="C232" s="35"/>
      <c r="D232" s="10"/>
      <c r="E232" s="36"/>
      <c r="F232" s="3"/>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37"/>
      <c r="B233" s="10"/>
      <c r="C233" s="35"/>
      <c r="D233" s="10"/>
      <c r="E233" s="36"/>
      <c r="F233" s="3"/>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37"/>
      <c r="B234" s="10"/>
      <c r="C234" s="35"/>
      <c r="D234" s="10"/>
      <c r="E234" s="36"/>
      <c r="F234" s="3"/>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37"/>
      <c r="B235" s="10"/>
      <c r="C235" s="35"/>
      <c r="D235" s="10"/>
      <c r="E235" s="36"/>
      <c r="F235" s="3"/>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37"/>
      <c r="B236" s="10"/>
      <c r="C236" s="35"/>
      <c r="D236" s="10"/>
      <c r="E236" s="36"/>
      <c r="F236" s="3"/>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37"/>
      <c r="B237" s="10"/>
      <c r="C237" s="35"/>
      <c r="D237" s="10"/>
      <c r="E237" s="36"/>
      <c r="F237" s="3"/>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37"/>
      <c r="B238" s="10"/>
      <c r="C238" s="35"/>
      <c r="D238" s="10"/>
      <c r="E238" s="36"/>
      <c r="F238" s="3"/>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37"/>
      <c r="B239" s="10"/>
      <c r="C239" s="35"/>
      <c r="D239" s="10"/>
      <c r="E239" s="36"/>
      <c r="F239" s="3"/>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37"/>
      <c r="B240" s="10"/>
      <c r="C240" s="35"/>
      <c r="D240" s="10"/>
      <c r="E240" s="36"/>
      <c r="F240" s="3"/>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37"/>
      <c r="B241" s="10"/>
      <c r="C241" s="35"/>
      <c r="D241" s="10"/>
      <c r="E241" s="36"/>
      <c r="F241" s="3"/>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37"/>
      <c r="B242" s="10"/>
      <c r="C242" s="35"/>
      <c r="D242" s="10"/>
      <c r="E242" s="36"/>
      <c r="F242" s="3"/>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37"/>
      <c r="B243" s="10"/>
      <c r="C243" s="35"/>
      <c r="D243" s="10"/>
      <c r="E243" s="36"/>
      <c r="F243" s="3"/>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37"/>
      <c r="B244" s="10"/>
      <c r="C244" s="35"/>
      <c r="D244" s="10"/>
      <c r="E244" s="36"/>
      <c r="F244" s="3"/>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37"/>
      <c r="B245" s="10"/>
      <c r="C245" s="35"/>
      <c r="D245" s="10"/>
      <c r="E245" s="36"/>
      <c r="F245" s="3"/>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37"/>
      <c r="B246" s="10"/>
      <c r="C246" s="35"/>
      <c r="D246" s="10"/>
      <c r="E246" s="36"/>
      <c r="F246" s="3"/>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37"/>
      <c r="B247" s="10"/>
      <c r="C247" s="35"/>
      <c r="D247" s="10"/>
      <c r="E247" s="36"/>
      <c r="F247" s="3"/>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37"/>
      <c r="B248" s="10"/>
      <c r="C248" s="35"/>
      <c r="D248" s="10"/>
      <c r="E248" s="36"/>
      <c r="F248" s="3"/>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37"/>
      <c r="B249" s="10"/>
      <c r="C249" s="35"/>
      <c r="D249" s="10"/>
      <c r="E249" s="36"/>
      <c r="F249" s="3"/>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37"/>
      <c r="B250" s="10"/>
      <c r="C250" s="35"/>
      <c r="D250" s="10"/>
      <c r="E250" s="36"/>
      <c r="F250" s="3"/>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37"/>
      <c r="B251" s="10"/>
      <c r="C251" s="35"/>
      <c r="D251" s="10"/>
      <c r="E251" s="36"/>
      <c r="F251" s="3"/>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37"/>
      <c r="B252" s="10"/>
      <c r="C252" s="35"/>
      <c r="D252" s="10"/>
      <c r="E252" s="36"/>
      <c r="F252" s="3"/>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37"/>
      <c r="B253" s="10"/>
      <c r="C253" s="35"/>
      <c r="D253" s="10"/>
      <c r="E253" s="36"/>
      <c r="F253" s="3"/>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37"/>
      <c r="B254" s="10"/>
      <c r="C254" s="35"/>
      <c r="D254" s="10"/>
      <c r="E254" s="36"/>
      <c r="F254" s="3"/>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37"/>
      <c r="B255" s="10"/>
      <c r="C255" s="35"/>
      <c r="D255" s="10"/>
      <c r="E255" s="36"/>
      <c r="F255" s="3"/>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37"/>
      <c r="B256" s="10"/>
      <c r="C256" s="35"/>
      <c r="D256" s="10"/>
      <c r="E256" s="36"/>
      <c r="F256" s="3"/>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37"/>
      <c r="B257" s="10"/>
      <c r="C257" s="35"/>
      <c r="D257" s="10"/>
      <c r="E257" s="36"/>
      <c r="F257" s="3"/>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37"/>
      <c r="B258" s="10"/>
      <c r="C258" s="35"/>
      <c r="D258" s="10"/>
      <c r="E258" s="36"/>
      <c r="F258" s="3"/>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37"/>
      <c r="B259" s="10"/>
      <c r="C259" s="35"/>
      <c r="D259" s="10"/>
      <c r="E259" s="36"/>
      <c r="F259" s="3"/>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37"/>
      <c r="B260" s="10"/>
      <c r="C260" s="35"/>
      <c r="D260" s="10"/>
      <c r="E260" s="36"/>
      <c r="F260" s="3"/>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37"/>
      <c r="B261" s="10"/>
      <c r="C261" s="35"/>
      <c r="D261" s="10"/>
      <c r="E261" s="36"/>
      <c r="F261" s="3"/>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37"/>
      <c r="B262" s="10"/>
      <c r="C262" s="35"/>
      <c r="D262" s="10"/>
      <c r="E262" s="36"/>
      <c r="F262" s="3"/>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37"/>
      <c r="B263" s="10"/>
      <c r="C263" s="35"/>
      <c r="D263" s="10"/>
      <c r="E263" s="36"/>
      <c r="F263" s="3"/>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37"/>
      <c r="B264" s="10"/>
      <c r="C264" s="35"/>
      <c r="D264" s="10"/>
      <c r="E264" s="36"/>
      <c r="F264" s="3"/>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37"/>
      <c r="B265" s="10"/>
      <c r="C265" s="35"/>
      <c r="D265" s="10"/>
      <c r="E265" s="36"/>
      <c r="F265" s="3"/>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37"/>
      <c r="B266" s="10"/>
      <c r="C266" s="35"/>
      <c r="D266" s="10"/>
      <c r="E266" s="36"/>
      <c r="F266" s="3"/>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37"/>
      <c r="B267" s="10"/>
      <c r="C267" s="35"/>
      <c r="D267" s="10"/>
      <c r="E267" s="36"/>
      <c r="F267" s="3"/>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37"/>
      <c r="B268" s="10"/>
      <c r="C268" s="35"/>
      <c r="D268" s="10"/>
      <c r="E268" s="36"/>
      <c r="F268" s="3"/>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37"/>
      <c r="B269" s="10"/>
      <c r="C269" s="35"/>
      <c r="D269" s="10"/>
      <c r="E269" s="36"/>
      <c r="F269" s="3"/>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37"/>
      <c r="B270" s="10"/>
      <c r="C270" s="35"/>
      <c r="D270" s="10"/>
      <c r="E270" s="36"/>
      <c r="F270" s="3"/>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37"/>
      <c r="B271" s="10"/>
      <c r="C271" s="35"/>
      <c r="D271" s="10"/>
      <c r="E271" s="36"/>
      <c r="F271" s="3"/>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37"/>
      <c r="B272" s="10"/>
      <c r="C272" s="35"/>
      <c r="D272" s="10"/>
      <c r="E272" s="36"/>
      <c r="F272" s="3"/>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37"/>
      <c r="B273" s="10"/>
      <c r="C273" s="35"/>
      <c r="D273" s="10"/>
      <c r="E273" s="36"/>
      <c r="F273" s="3"/>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37"/>
      <c r="B274" s="10"/>
      <c r="C274" s="35"/>
      <c r="D274" s="10"/>
      <c r="E274" s="36"/>
      <c r="F274" s="3"/>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37"/>
      <c r="B275" s="10"/>
      <c r="C275" s="35"/>
      <c r="D275" s="10"/>
      <c r="E275" s="36"/>
      <c r="F275" s="3"/>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37"/>
      <c r="B276" s="10"/>
      <c r="C276" s="35"/>
      <c r="D276" s="10"/>
      <c r="E276" s="36"/>
      <c r="F276" s="3"/>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37"/>
      <c r="B277" s="10"/>
      <c r="C277" s="35"/>
      <c r="D277" s="10"/>
      <c r="E277" s="36"/>
      <c r="F277" s="3"/>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37"/>
      <c r="B278" s="10"/>
      <c r="C278" s="35"/>
      <c r="D278" s="10"/>
      <c r="E278" s="36"/>
      <c r="F278" s="3"/>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37"/>
      <c r="B279" s="10"/>
      <c r="C279" s="35"/>
      <c r="D279" s="10"/>
      <c r="E279" s="36"/>
      <c r="F279" s="3"/>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37"/>
      <c r="B280" s="10"/>
      <c r="C280" s="35"/>
      <c r="D280" s="10"/>
      <c r="E280" s="36"/>
      <c r="F280" s="3"/>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37"/>
      <c r="B281" s="10"/>
      <c r="C281" s="35"/>
      <c r="D281" s="10"/>
      <c r="E281" s="36"/>
      <c r="F281" s="3"/>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37"/>
      <c r="B282" s="10"/>
      <c r="C282" s="35"/>
      <c r="D282" s="10"/>
      <c r="E282" s="36"/>
      <c r="F282" s="3"/>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37"/>
      <c r="B283" s="10"/>
      <c r="C283" s="35"/>
      <c r="D283" s="10"/>
      <c r="E283" s="36"/>
      <c r="F283" s="3"/>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37"/>
      <c r="B284" s="10"/>
      <c r="C284" s="35"/>
      <c r="D284" s="10"/>
      <c r="E284" s="36"/>
      <c r="F284" s="3"/>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37"/>
      <c r="B285" s="10"/>
      <c r="C285" s="35"/>
      <c r="D285" s="10"/>
      <c r="E285" s="36"/>
      <c r="F285" s="3"/>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37"/>
      <c r="B286" s="10"/>
      <c r="C286" s="35"/>
      <c r="D286" s="10"/>
      <c r="E286" s="36"/>
      <c r="F286" s="3"/>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37"/>
      <c r="B287" s="10"/>
      <c r="C287" s="35"/>
      <c r="D287" s="10"/>
      <c r="E287" s="36"/>
      <c r="F287" s="3"/>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37"/>
      <c r="B288" s="10"/>
      <c r="C288" s="35"/>
      <c r="D288" s="10"/>
      <c r="E288" s="36"/>
      <c r="F288" s="3"/>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37"/>
      <c r="B289" s="10"/>
      <c r="C289" s="35"/>
      <c r="D289" s="10"/>
      <c r="E289" s="36"/>
      <c r="F289" s="3"/>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37"/>
      <c r="B290" s="10"/>
      <c r="C290" s="35"/>
      <c r="D290" s="10"/>
      <c r="E290" s="36"/>
      <c r="F290" s="3"/>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37"/>
      <c r="B291" s="10"/>
      <c r="C291" s="35"/>
      <c r="D291" s="10"/>
      <c r="E291" s="36"/>
      <c r="F291" s="3"/>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37"/>
      <c r="B292" s="10"/>
      <c r="C292" s="35"/>
      <c r="D292" s="10"/>
      <c r="E292" s="36"/>
      <c r="F292" s="3"/>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38"/>
      <c r="B293" s="10"/>
      <c r="C293" s="35"/>
      <c r="D293" s="10"/>
      <c r="E293" s="36"/>
      <c r="F293" s="3"/>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38"/>
      <c r="B294" s="10"/>
      <c r="C294" s="35"/>
      <c r="D294" s="10"/>
      <c r="E294" s="36"/>
      <c r="F294" s="3"/>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38"/>
      <c r="B295" s="10"/>
      <c r="C295" s="35"/>
      <c r="D295" s="10"/>
      <c r="E295" s="36"/>
      <c r="F295" s="3"/>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38"/>
      <c r="B296" s="10"/>
      <c r="C296" s="35"/>
      <c r="D296" s="10"/>
      <c r="E296" s="36"/>
      <c r="F296" s="3"/>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38"/>
      <c r="B297" s="10"/>
      <c r="C297" s="35"/>
      <c r="D297" s="10"/>
      <c r="E297" s="36"/>
      <c r="F297" s="3"/>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38"/>
      <c r="B298" s="10"/>
      <c r="C298" s="35"/>
      <c r="D298" s="10"/>
      <c r="E298" s="36"/>
      <c r="F298" s="3"/>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38"/>
      <c r="B299" s="10"/>
      <c r="C299" s="35"/>
      <c r="D299" s="10"/>
      <c r="E299" s="36"/>
      <c r="F299" s="3"/>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38"/>
      <c r="B300" s="10"/>
      <c r="C300" s="35"/>
      <c r="D300" s="10"/>
      <c r="E300" s="36"/>
      <c r="F300" s="3"/>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38"/>
      <c r="B301" s="10"/>
      <c r="C301" s="35"/>
      <c r="D301" s="10"/>
      <c r="E301" s="36"/>
      <c r="F301" s="3"/>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38"/>
      <c r="B302" s="10"/>
      <c r="C302" s="35"/>
      <c r="D302" s="10"/>
      <c r="E302" s="36"/>
      <c r="F302" s="3"/>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38"/>
      <c r="B303" s="10"/>
      <c r="C303" s="35"/>
      <c r="D303" s="10"/>
      <c r="E303" s="36"/>
      <c r="F303" s="3"/>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38"/>
      <c r="B304" s="10"/>
      <c r="C304" s="35"/>
      <c r="D304" s="10"/>
      <c r="E304" s="36"/>
      <c r="F304" s="3"/>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38"/>
      <c r="B305" s="10"/>
      <c r="C305" s="35"/>
      <c r="D305" s="10"/>
      <c r="E305" s="36"/>
      <c r="F305" s="3"/>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38"/>
      <c r="B306" s="10"/>
      <c r="C306" s="35"/>
      <c r="D306" s="10"/>
      <c r="E306" s="36"/>
      <c r="F306" s="3"/>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38"/>
      <c r="B307" s="10"/>
      <c r="C307" s="35"/>
      <c r="D307" s="10"/>
      <c r="E307" s="36"/>
      <c r="F307" s="3"/>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38"/>
      <c r="B308" s="10"/>
      <c r="C308" s="35"/>
      <c r="D308" s="10"/>
      <c r="E308" s="36"/>
      <c r="F308" s="3"/>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38"/>
      <c r="B309" s="10"/>
      <c r="C309" s="35"/>
      <c r="D309" s="10"/>
      <c r="E309" s="36"/>
      <c r="F309" s="3"/>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38"/>
      <c r="B310" s="10"/>
      <c r="C310" s="35"/>
      <c r="D310" s="10"/>
      <c r="E310" s="36"/>
      <c r="F310" s="3"/>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38"/>
      <c r="B311" s="10"/>
      <c r="C311" s="35"/>
      <c r="D311" s="10"/>
      <c r="E311" s="36"/>
      <c r="F311" s="3"/>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38"/>
      <c r="B312" s="10"/>
      <c r="C312" s="35"/>
      <c r="D312" s="10"/>
      <c r="E312" s="36"/>
      <c r="F312" s="3"/>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38"/>
      <c r="B313" s="10"/>
      <c r="C313" s="35"/>
      <c r="D313" s="10"/>
      <c r="E313" s="36"/>
      <c r="F313" s="3"/>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38"/>
      <c r="B314" s="10"/>
      <c r="C314" s="35"/>
      <c r="D314" s="10"/>
      <c r="E314" s="36"/>
      <c r="F314" s="3"/>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38"/>
      <c r="B315" s="10"/>
      <c r="C315" s="35"/>
      <c r="D315" s="10"/>
      <c r="E315" s="36"/>
      <c r="F315" s="3"/>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38"/>
      <c r="B316" s="10"/>
      <c r="C316" s="35"/>
      <c r="D316" s="10"/>
      <c r="E316" s="36"/>
      <c r="F316" s="3"/>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38"/>
      <c r="B317" s="10"/>
      <c r="C317" s="35"/>
      <c r="D317" s="10"/>
      <c r="E317" s="36"/>
      <c r="F317" s="3"/>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38"/>
      <c r="B318" s="10"/>
      <c r="C318" s="35"/>
      <c r="D318" s="10"/>
      <c r="E318" s="36"/>
      <c r="F318" s="3"/>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38"/>
      <c r="B319" s="10"/>
      <c r="C319" s="35"/>
      <c r="D319" s="10"/>
      <c r="E319" s="36"/>
      <c r="F319" s="3"/>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38"/>
      <c r="B320" s="10"/>
      <c r="C320" s="35"/>
      <c r="D320" s="10"/>
      <c r="E320" s="36"/>
      <c r="F320" s="3"/>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38"/>
      <c r="B321" s="10"/>
      <c r="C321" s="35"/>
      <c r="D321" s="10"/>
      <c r="E321" s="36"/>
      <c r="F321" s="3"/>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38"/>
      <c r="B322" s="10"/>
      <c r="C322" s="35"/>
      <c r="D322" s="10"/>
      <c r="E322" s="36"/>
      <c r="F322" s="3"/>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38"/>
      <c r="B323" s="10"/>
      <c r="C323" s="35"/>
      <c r="D323" s="10"/>
      <c r="E323" s="36"/>
      <c r="F323" s="3"/>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38"/>
      <c r="B324" s="10"/>
      <c r="C324" s="35"/>
      <c r="D324" s="10"/>
      <c r="E324" s="36"/>
      <c r="F324" s="3"/>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38"/>
      <c r="B325" s="10"/>
      <c r="C325" s="35"/>
      <c r="D325" s="10"/>
      <c r="E325" s="36"/>
      <c r="F325" s="3"/>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38"/>
      <c r="B326" s="10"/>
      <c r="C326" s="35"/>
      <c r="D326" s="10"/>
      <c r="E326" s="36"/>
      <c r="F326" s="3"/>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38"/>
      <c r="B327" s="10"/>
      <c r="C327" s="35"/>
      <c r="D327" s="10"/>
      <c r="E327" s="36"/>
      <c r="F327" s="3"/>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38"/>
      <c r="B328" s="10"/>
      <c r="C328" s="35"/>
      <c r="D328" s="10"/>
      <c r="E328" s="36"/>
      <c r="F328" s="3"/>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38"/>
      <c r="B329" s="10"/>
      <c r="C329" s="35"/>
      <c r="D329" s="10"/>
      <c r="E329" s="36"/>
      <c r="F329" s="3"/>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38"/>
      <c r="B330" s="10"/>
      <c r="C330" s="35"/>
      <c r="D330" s="10"/>
      <c r="E330" s="36"/>
      <c r="F330" s="3"/>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38"/>
      <c r="B331" s="10"/>
      <c r="C331" s="35"/>
      <c r="D331" s="10"/>
      <c r="E331" s="36"/>
      <c r="F331" s="3"/>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38"/>
      <c r="B332" s="10"/>
      <c r="C332" s="35"/>
      <c r="D332" s="10"/>
      <c r="E332" s="36"/>
      <c r="F332" s="3"/>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38"/>
      <c r="B333" s="10"/>
      <c r="C333" s="35"/>
      <c r="D333" s="10"/>
      <c r="E333" s="36"/>
      <c r="F333" s="3"/>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38"/>
      <c r="B334" s="10"/>
      <c r="C334" s="35"/>
      <c r="D334" s="10"/>
      <c r="E334" s="36"/>
      <c r="F334" s="3"/>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38"/>
      <c r="B335" s="10"/>
      <c r="C335" s="35"/>
      <c r="D335" s="10"/>
      <c r="E335" s="36"/>
      <c r="F335" s="3"/>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38"/>
      <c r="B336" s="10"/>
      <c r="C336" s="35"/>
      <c r="D336" s="10"/>
      <c r="E336" s="36"/>
      <c r="F336" s="3"/>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38"/>
      <c r="B337" s="10"/>
      <c r="C337" s="35"/>
      <c r="D337" s="10"/>
      <c r="E337" s="36"/>
      <c r="F337" s="3"/>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38"/>
      <c r="B338" s="10"/>
      <c r="C338" s="35"/>
      <c r="D338" s="10"/>
      <c r="E338" s="36"/>
      <c r="F338" s="3"/>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38"/>
      <c r="B339" s="10"/>
      <c r="C339" s="35"/>
      <c r="D339" s="10"/>
      <c r="E339" s="36"/>
      <c r="F339" s="3"/>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38"/>
      <c r="B340" s="10"/>
      <c r="C340" s="35"/>
      <c r="D340" s="10"/>
      <c r="E340" s="36"/>
      <c r="F340" s="3"/>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38"/>
      <c r="B341" s="10"/>
      <c r="C341" s="35"/>
      <c r="D341" s="10"/>
      <c r="E341" s="36"/>
      <c r="F341" s="3"/>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38"/>
      <c r="B342" s="10"/>
      <c r="C342" s="35"/>
      <c r="D342" s="10"/>
      <c r="E342" s="36"/>
      <c r="F342" s="3"/>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38"/>
      <c r="B343" s="10"/>
      <c r="C343" s="35"/>
      <c r="D343" s="10"/>
      <c r="E343" s="36"/>
      <c r="F343" s="3"/>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38"/>
      <c r="B344" s="10"/>
      <c r="C344" s="35"/>
      <c r="D344" s="10"/>
      <c r="E344" s="36"/>
      <c r="F344" s="3"/>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38"/>
      <c r="B345" s="10"/>
      <c r="C345" s="35"/>
      <c r="D345" s="10"/>
      <c r="E345" s="36"/>
      <c r="F345" s="3"/>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38"/>
      <c r="B346" s="10"/>
      <c r="C346" s="35"/>
      <c r="D346" s="10"/>
      <c r="E346" s="36"/>
      <c r="F346" s="3"/>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38"/>
      <c r="B347" s="10"/>
      <c r="C347" s="35"/>
      <c r="D347" s="10"/>
      <c r="E347" s="36"/>
      <c r="F347" s="3"/>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38"/>
      <c r="B348" s="10"/>
      <c r="C348" s="35"/>
      <c r="D348" s="10"/>
      <c r="E348" s="36"/>
      <c r="F348" s="3"/>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38"/>
      <c r="B349" s="10"/>
      <c r="C349" s="35"/>
      <c r="D349" s="10"/>
      <c r="E349" s="36"/>
      <c r="F349" s="3"/>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38"/>
      <c r="B350" s="10"/>
      <c r="C350" s="35"/>
      <c r="D350" s="10"/>
      <c r="E350" s="36"/>
      <c r="F350" s="3"/>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38"/>
      <c r="B351" s="10"/>
      <c r="C351" s="35"/>
      <c r="D351" s="10"/>
      <c r="E351" s="36"/>
      <c r="F351" s="3"/>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38"/>
      <c r="B352" s="10"/>
      <c r="C352" s="35"/>
      <c r="D352" s="10"/>
      <c r="E352" s="36"/>
      <c r="F352" s="3"/>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38"/>
      <c r="B353" s="10"/>
      <c r="C353" s="35"/>
      <c r="D353" s="10"/>
      <c r="E353" s="36"/>
      <c r="F353" s="3"/>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38"/>
      <c r="B354" s="10"/>
      <c r="C354" s="35"/>
      <c r="D354" s="10"/>
      <c r="E354" s="36"/>
      <c r="F354" s="3"/>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38"/>
      <c r="B355" s="10"/>
      <c r="C355" s="35"/>
      <c r="D355" s="10"/>
      <c r="E355" s="36"/>
      <c r="F355" s="3"/>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38"/>
      <c r="B356" s="10"/>
      <c r="C356" s="35"/>
      <c r="D356" s="10"/>
      <c r="E356" s="36"/>
      <c r="F356" s="3"/>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38"/>
      <c r="B357" s="10"/>
      <c r="C357" s="35"/>
      <c r="D357" s="10"/>
      <c r="E357" s="36"/>
      <c r="F357" s="3"/>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38"/>
      <c r="B358" s="10"/>
      <c r="C358" s="35"/>
      <c r="D358" s="10"/>
      <c r="E358" s="36"/>
      <c r="F358" s="3"/>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38"/>
      <c r="B359" s="10"/>
      <c r="C359" s="35"/>
      <c r="D359" s="10"/>
      <c r="E359" s="36"/>
      <c r="F359" s="3"/>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38"/>
      <c r="B360" s="10"/>
      <c r="C360" s="35"/>
      <c r="D360" s="10"/>
      <c r="E360" s="36"/>
      <c r="F360" s="3"/>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38"/>
      <c r="B361" s="10"/>
      <c r="C361" s="35"/>
      <c r="D361" s="10"/>
      <c r="E361" s="36"/>
      <c r="F361" s="3"/>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38"/>
      <c r="B362" s="10"/>
      <c r="C362" s="35"/>
      <c r="D362" s="10"/>
      <c r="E362" s="36"/>
      <c r="F362" s="3"/>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38"/>
      <c r="B363" s="10"/>
      <c r="C363" s="35"/>
      <c r="D363" s="10"/>
      <c r="E363" s="36"/>
      <c r="F363" s="3"/>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38"/>
      <c r="B364" s="10"/>
      <c r="C364" s="35"/>
      <c r="D364" s="10"/>
      <c r="E364" s="36"/>
      <c r="F364" s="3"/>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38"/>
      <c r="B365" s="10"/>
      <c r="C365" s="35"/>
      <c r="D365" s="10"/>
      <c r="E365" s="36"/>
      <c r="F365" s="3"/>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38"/>
      <c r="B366" s="10"/>
      <c r="C366" s="35"/>
      <c r="D366" s="10"/>
      <c r="E366" s="36"/>
      <c r="F366" s="3"/>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38"/>
      <c r="B367" s="10"/>
      <c r="C367" s="35"/>
      <c r="D367" s="10"/>
      <c r="E367" s="36"/>
      <c r="F367" s="3"/>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38"/>
      <c r="B368" s="10"/>
      <c r="C368" s="35"/>
      <c r="D368" s="10"/>
      <c r="E368" s="36"/>
      <c r="F368" s="3"/>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38"/>
      <c r="B369" s="10"/>
      <c r="C369" s="35"/>
      <c r="D369" s="10"/>
      <c r="E369" s="36"/>
      <c r="F369" s="3"/>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38"/>
      <c r="B370" s="10"/>
      <c r="C370" s="35"/>
      <c r="D370" s="10"/>
      <c r="E370" s="36"/>
      <c r="F370" s="3"/>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38"/>
      <c r="B371" s="10"/>
      <c r="C371" s="35"/>
      <c r="D371" s="10"/>
      <c r="E371" s="36"/>
      <c r="F371" s="3"/>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38"/>
      <c r="B372" s="10"/>
      <c r="C372" s="35"/>
      <c r="D372" s="10"/>
      <c r="E372" s="36"/>
      <c r="F372" s="3"/>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38"/>
      <c r="B373" s="10"/>
      <c r="C373" s="35"/>
      <c r="D373" s="10"/>
      <c r="E373" s="36"/>
      <c r="F373" s="3"/>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38"/>
      <c r="B374" s="10"/>
      <c r="C374" s="35"/>
      <c r="D374" s="10"/>
      <c r="E374" s="36"/>
      <c r="F374" s="3"/>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38"/>
      <c r="B375" s="10"/>
      <c r="C375" s="35"/>
      <c r="D375" s="10"/>
      <c r="E375" s="36"/>
      <c r="F375" s="3"/>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38"/>
      <c r="B376" s="10"/>
      <c r="C376" s="35"/>
      <c r="D376" s="10"/>
      <c r="E376" s="36"/>
      <c r="F376" s="3"/>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38"/>
      <c r="B377" s="10"/>
      <c r="C377" s="35"/>
      <c r="D377" s="10"/>
      <c r="E377" s="36"/>
      <c r="F377" s="3"/>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38"/>
      <c r="B378" s="10"/>
      <c r="C378" s="35"/>
      <c r="D378" s="10"/>
      <c r="E378" s="36"/>
      <c r="F378" s="3"/>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38"/>
      <c r="B379" s="10"/>
      <c r="C379" s="35"/>
      <c r="D379" s="10"/>
      <c r="E379" s="36"/>
      <c r="F379" s="3"/>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38"/>
      <c r="B380" s="10"/>
      <c r="C380" s="35"/>
      <c r="D380" s="10"/>
      <c r="E380" s="36"/>
      <c r="F380" s="3"/>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38"/>
      <c r="B381" s="10"/>
      <c r="C381" s="35"/>
      <c r="D381" s="10"/>
      <c r="E381" s="36"/>
      <c r="F381" s="3"/>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38"/>
      <c r="B382" s="10"/>
      <c r="C382" s="35"/>
      <c r="D382" s="10"/>
      <c r="E382" s="36"/>
      <c r="F382" s="3"/>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38"/>
      <c r="B383" s="10"/>
      <c r="C383" s="35"/>
      <c r="D383" s="10"/>
      <c r="E383" s="36"/>
      <c r="F383" s="3"/>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38"/>
      <c r="B384" s="10"/>
      <c r="C384" s="35"/>
      <c r="D384" s="10"/>
      <c r="E384" s="36"/>
      <c r="F384" s="3"/>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38"/>
      <c r="B385" s="10"/>
      <c r="C385" s="35"/>
      <c r="D385" s="10"/>
      <c r="E385" s="36"/>
      <c r="F385" s="3"/>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38"/>
      <c r="B386" s="10"/>
      <c r="C386" s="35"/>
      <c r="D386" s="10"/>
      <c r="E386" s="36"/>
      <c r="F386" s="3"/>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38"/>
      <c r="B387" s="10"/>
      <c r="C387" s="35"/>
      <c r="D387" s="10"/>
      <c r="E387" s="36"/>
      <c r="F387" s="3"/>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38"/>
      <c r="B388" s="10"/>
      <c r="C388" s="35"/>
      <c r="D388" s="10"/>
      <c r="E388" s="36"/>
      <c r="F388" s="3"/>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38"/>
      <c r="B389" s="10"/>
      <c r="C389" s="35"/>
      <c r="D389" s="10"/>
      <c r="E389" s="36"/>
      <c r="F389" s="3"/>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38"/>
      <c r="B390" s="10"/>
      <c r="C390" s="35"/>
      <c r="D390" s="10"/>
      <c r="E390" s="36"/>
      <c r="F390" s="3"/>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38"/>
      <c r="B391" s="10"/>
      <c r="C391" s="35"/>
      <c r="D391" s="10"/>
      <c r="E391" s="36"/>
      <c r="F391" s="3"/>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38"/>
      <c r="B392" s="10"/>
      <c r="C392" s="35"/>
      <c r="D392" s="10"/>
      <c r="E392" s="36"/>
      <c r="F392" s="3"/>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38"/>
      <c r="B393" s="10"/>
      <c r="C393" s="35"/>
      <c r="D393" s="10"/>
      <c r="E393" s="36"/>
      <c r="F393" s="3"/>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38"/>
      <c r="B394" s="10"/>
      <c r="C394" s="35"/>
      <c r="D394" s="10"/>
      <c r="E394" s="36"/>
      <c r="F394" s="3"/>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38"/>
      <c r="B395" s="10"/>
      <c r="C395" s="35"/>
      <c r="D395" s="10"/>
      <c r="E395" s="36"/>
      <c r="F395" s="3"/>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38"/>
      <c r="B396" s="10"/>
      <c r="C396" s="35"/>
      <c r="D396" s="10"/>
      <c r="E396" s="36"/>
      <c r="F396" s="3"/>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38"/>
      <c r="B397" s="10"/>
      <c r="C397" s="35"/>
      <c r="D397" s="10"/>
      <c r="E397" s="36"/>
      <c r="F397" s="3"/>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38"/>
      <c r="B398" s="10"/>
      <c r="C398" s="35"/>
      <c r="D398" s="10"/>
      <c r="E398" s="36"/>
      <c r="F398" s="3"/>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38"/>
      <c r="B399" s="10"/>
      <c r="C399" s="35"/>
      <c r="D399" s="10"/>
      <c r="E399" s="36"/>
      <c r="F399" s="3"/>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38"/>
      <c r="B400" s="10"/>
      <c r="C400" s="35"/>
      <c r="D400" s="10"/>
      <c r="E400" s="36"/>
      <c r="F400" s="3"/>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38"/>
      <c r="B401" s="10"/>
      <c r="C401" s="35"/>
      <c r="D401" s="10"/>
      <c r="E401" s="36"/>
      <c r="F401" s="3"/>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38"/>
      <c r="B402" s="10"/>
      <c r="C402" s="35"/>
      <c r="D402" s="10"/>
      <c r="E402" s="36"/>
      <c r="F402" s="3"/>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38"/>
      <c r="B403" s="10"/>
      <c r="C403" s="35"/>
      <c r="D403" s="10"/>
      <c r="E403" s="36"/>
      <c r="F403" s="3"/>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38"/>
      <c r="B404" s="10"/>
      <c r="C404" s="35"/>
      <c r="D404" s="10"/>
      <c r="E404" s="36"/>
      <c r="F404" s="3"/>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38"/>
      <c r="B405" s="10"/>
      <c r="C405" s="35"/>
      <c r="D405" s="10"/>
      <c r="E405" s="36"/>
      <c r="F405" s="3"/>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38"/>
      <c r="B406" s="10"/>
      <c r="C406" s="35"/>
      <c r="D406" s="10"/>
      <c r="E406" s="36"/>
      <c r="F406" s="3"/>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38"/>
      <c r="B407" s="10"/>
      <c r="C407" s="35"/>
      <c r="D407" s="10"/>
      <c r="E407" s="36"/>
      <c r="F407" s="3"/>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38"/>
      <c r="B408" s="10"/>
      <c r="C408" s="35"/>
      <c r="D408" s="10"/>
      <c r="E408" s="36"/>
      <c r="F408" s="3"/>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38"/>
      <c r="B409" s="10"/>
      <c r="C409" s="35"/>
      <c r="D409" s="10"/>
      <c r="E409" s="36"/>
      <c r="F409" s="3"/>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38"/>
      <c r="B410" s="10"/>
      <c r="C410" s="35"/>
      <c r="D410" s="10"/>
      <c r="E410" s="36"/>
      <c r="F410" s="3"/>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38"/>
      <c r="B411" s="10"/>
      <c r="C411" s="35"/>
      <c r="D411" s="10"/>
      <c r="E411" s="36"/>
      <c r="F411" s="3"/>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38"/>
      <c r="B412" s="10"/>
      <c r="C412" s="35"/>
      <c r="D412" s="10"/>
      <c r="E412" s="36"/>
      <c r="F412" s="3"/>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38"/>
      <c r="B413" s="10"/>
      <c r="C413" s="35"/>
      <c r="D413" s="10"/>
      <c r="E413" s="36"/>
      <c r="F413" s="3"/>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38"/>
      <c r="B414" s="10"/>
      <c r="C414" s="35"/>
      <c r="D414" s="10"/>
      <c r="E414" s="36"/>
      <c r="F414" s="3"/>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38"/>
      <c r="B415" s="10"/>
      <c r="C415" s="35"/>
      <c r="D415" s="10"/>
      <c r="E415" s="36"/>
      <c r="F415" s="3"/>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38"/>
      <c r="B416" s="10"/>
      <c r="C416" s="35"/>
      <c r="D416" s="10"/>
      <c r="E416" s="36"/>
      <c r="F416" s="3"/>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38"/>
      <c r="B417" s="10"/>
      <c r="C417" s="35"/>
      <c r="D417" s="10"/>
      <c r="E417" s="36"/>
      <c r="F417" s="3"/>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38"/>
      <c r="B418" s="10"/>
      <c r="C418" s="35"/>
      <c r="D418" s="10"/>
      <c r="E418" s="36"/>
      <c r="F418" s="3"/>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38"/>
      <c r="B419" s="10"/>
      <c r="C419" s="35"/>
      <c r="D419" s="10"/>
      <c r="E419" s="36"/>
      <c r="F419" s="3"/>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38"/>
      <c r="B420" s="10"/>
      <c r="C420" s="35"/>
      <c r="D420" s="10"/>
      <c r="E420" s="36"/>
      <c r="F420" s="3"/>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38"/>
      <c r="B421" s="10"/>
      <c r="C421" s="35"/>
      <c r="D421" s="10"/>
      <c r="E421" s="36"/>
      <c r="F421" s="3"/>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38"/>
      <c r="B422" s="10"/>
      <c r="C422" s="35"/>
      <c r="D422" s="10"/>
      <c r="E422" s="36"/>
      <c r="F422" s="3"/>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38"/>
      <c r="B423" s="10"/>
      <c r="C423" s="35"/>
      <c r="D423" s="10"/>
      <c r="E423" s="36"/>
      <c r="F423" s="3"/>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38"/>
      <c r="B424" s="10"/>
      <c r="C424" s="35"/>
      <c r="D424" s="10"/>
      <c r="E424" s="36"/>
      <c r="F424" s="3"/>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38"/>
      <c r="B425" s="10"/>
      <c r="C425" s="35"/>
      <c r="D425" s="10"/>
      <c r="E425" s="36"/>
      <c r="F425" s="3"/>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38"/>
      <c r="B426" s="10"/>
      <c r="C426" s="35"/>
      <c r="D426" s="10"/>
      <c r="E426" s="36"/>
      <c r="F426" s="3"/>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38"/>
      <c r="B427" s="10"/>
      <c r="C427" s="35"/>
      <c r="D427" s="10"/>
      <c r="E427" s="36"/>
      <c r="F427" s="3"/>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38"/>
      <c r="B428" s="10"/>
      <c r="C428" s="35"/>
      <c r="D428" s="10"/>
      <c r="E428" s="36"/>
      <c r="F428" s="3"/>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38"/>
      <c r="B429" s="10"/>
      <c r="C429" s="35"/>
      <c r="D429" s="10"/>
      <c r="E429" s="36"/>
      <c r="F429" s="3"/>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38"/>
      <c r="B430" s="10"/>
      <c r="C430" s="35"/>
      <c r="D430" s="10"/>
      <c r="E430" s="36"/>
      <c r="F430" s="3"/>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38"/>
      <c r="B431" s="10"/>
      <c r="C431" s="35"/>
      <c r="D431" s="10"/>
      <c r="E431" s="36"/>
      <c r="F431" s="3"/>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38"/>
      <c r="B432" s="10"/>
      <c r="C432" s="35"/>
      <c r="D432" s="10"/>
      <c r="E432" s="36"/>
      <c r="F432" s="3"/>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38"/>
      <c r="B433" s="10"/>
      <c r="C433" s="35"/>
      <c r="D433" s="10"/>
      <c r="E433" s="36"/>
      <c r="F433" s="3"/>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38"/>
      <c r="B434" s="10"/>
      <c r="C434" s="35"/>
      <c r="D434" s="10"/>
      <c r="E434" s="36"/>
      <c r="F434" s="3"/>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38"/>
      <c r="B435" s="10"/>
      <c r="C435" s="35"/>
      <c r="D435" s="10"/>
      <c r="E435" s="36"/>
      <c r="F435" s="3"/>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38"/>
      <c r="B436" s="10"/>
      <c r="C436" s="35"/>
      <c r="D436" s="10"/>
      <c r="E436" s="36"/>
      <c r="F436" s="3"/>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38"/>
      <c r="B437" s="10"/>
      <c r="C437" s="35"/>
      <c r="D437" s="10"/>
      <c r="E437" s="36"/>
      <c r="F437" s="3"/>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38"/>
      <c r="B438" s="10"/>
      <c r="C438" s="35"/>
      <c r="D438" s="10"/>
      <c r="E438" s="36"/>
      <c r="F438" s="3"/>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38"/>
      <c r="B439" s="10"/>
      <c r="C439" s="35"/>
      <c r="D439" s="10"/>
      <c r="E439" s="36"/>
      <c r="F439" s="3"/>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38"/>
      <c r="B440" s="10"/>
      <c r="C440" s="35"/>
      <c r="D440" s="10"/>
      <c r="E440" s="36"/>
      <c r="F440" s="3"/>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38"/>
      <c r="B441" s="10"/>
      <c r="C441" s="35"/>
      <c r="D441" s="10"/>
      <c r="E441" s="36"/>
      <c r="F441" s="3"/>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38"/>
      <c r="B442" s="10"/>
      <c r="C442" s="35"/>
      <c r="D442" s="10"/>
      <c r="E442" s="36"/>
      <c r="F442" s="3"/>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38"/>
      <c r="B443" s="10"/>
      <c r="C443" s="35"/>
      <c r="D443" s="10"/>
      <c r="E443" s="36"/>
      <c r="F443" s="3"/>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38"/>
      <c r="B444" s="10"/>
      <c r="C444" s="35"/>
      <c r="D444" s="10"/>
      <c r="E444" s="36"/>
      <c r="F444" s="3"/>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38"/>
      <c r="B445" s="10"/>
      <c r="C445" s="35"/>
      <c r="D445" s="10"/>
      <c r="E445" s="36"/>
      <c r="F445" s="3"/>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38"/>
      <c r="B446" s="10"/>
      <c r="C446" s="35"/>
      <c r="D446" s="10"/>
      <c r="E446" s="36"/>
      <c r="F446" s="3"/>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38"/>
      <c r="B447" s="10"/>
      <c r="C447" s="35"/>
      <c r="D447" s="10"/>
      <c r="E447" s="36"/>
      <c r="F447" s="3"/>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38"/>
      <c r="B448" s="10"/>
      <c r="C448" s="35"/>
      <c r="D448" s="10"/>
      <c r="E448" s="36"/>
      <c r="F448" s="3"/>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38"/>
      <c r="B449" s="10"/>
      <c r="C449" s="35"/>
      <c r="D449" s="10"/>
      <c r="E449" s="36"/>
      <c r="F449" s="3"/>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38"/>
      <c r="B450" s="10"/>
      <c r="C450" s="35"/>
      <c r="D450" s="10"/>
      <c r="E450" s="36"/>
      <c r="F450" s="3"/>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38"/>
      <c r="B451" s="10"/>
      <c r="C451" s="35"/>
      <c r="D451" s="10"/>
      <c r="E451" s="36"/>
      <c r="F451" s="3"/>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38"/>
      <c r="B452" s="10"/>
      <c r="C452" s="35"/>
      <c r="D452" s="10"/>
      <c r="E452" s="36"/>
      <c r="F452" s="3"/>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38"/>
      <c r="B453" s="10"/>
      <c r="C453" s="35"/>
      <c r="D453" s="10"/>
      <c r="E453" s="36"/>
      <c r="F453" s="3"/>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38"/>
      <c r="B454" s="10"/>
      <c r="C454" s="35"/>
      <c r="D454" s="10"/>
      <c r="E454" s="36"/>
      <c r="F454" s="3"/>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38"/>
      <c r="B455" s="10"/>
      <c r="C455" s="35"/>
      <c r="D455" s="10"/>
      <c r="E455" s="36"/>
      <c r="F455" s="3"/>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38"/>
      <c r="B456" s="10"/>
      <c r="C456" s="35"/>
      <c r="D456" s="10"/>
      <c r="E456" s="36"/>
      <c r="F456" s="3"/>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38"/>
      <c r="B457" s="10"/>
      <c r="C457" s="35"/>
      <c r="D457" s="10"/>
      <c r="E457" s="36"/>
      <c r="F457" s="3"/>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38"/>
      <c r="B458" s="10"/>
      <c r="C458" s="35"/>
      <c r="D458" s="10"/>
      <c r="E458" s="36"/>
      <c r="F458" s="3"/>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38"/>
      <c r="B459" s="10"/>
      <c r="C459" s="35"/>
      <c r="D459" s="10"/>
      <c r="E459" s="36"/>
      <c r="F459" s="3"/>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38"/>
      <c r="B460" s="10"/>
      <c r="C460" s="35"/>
      <c r="D460" s="10"/>
      <c r="E460" s="36"/>
      <c r="F460" s="3"/>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38"/>
      <c r="B461" s="10"/>
      <c r="C461" s="35"/>
      <c r="D461" s="10"/>
      <c r="E461" s="36"/>
      <c r="F461" s="3"/>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38"/>
      <c r="B462" s="10"/>
      <c r="C462" s="35"/>
      <c r="D462" s="10"/>
      <c r="E462" s="36"/>
      <c r="F462" s="3"/>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38"/>
      <c r="B463" s="10"/>
      <c r="C463" s="35"/>
      <c r="D463" s="10"/>
      <c r="E463" s="36"/>
      <c r="F463" s="3"/>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38"/>
      <c r="B464" s="10"/>
      <c r="C464" s="35"/>
      <c r="D464" s="10"/>
      <c r="E464" s="36"/>
      <c r="F464" s="3"/>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38"/>
      <c r="B465" s="10"/>
      <c r="C465" s="35"/>
      <c r="D465" s="10"/>
      <c r="E465" s="36"/>
      <c r="F465" s="3"/>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38"/>
      <c r="B466" s="10"/>
      <c r="C466" s="35"/>
      <c r="D466" s="10"/>
      <c r="E466" s="36"/>
      <c r="F466" s="3"/>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38"/>
      <c r="B467" s="10"/>
      <c r="C467" s="35"/>
      <c r="D467" s="10"/>
      <c r="E467" s="36"/>
      <c r="F467" s="3"/>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38"/>
      <c r="B468" s="10"/>
      <c r="C468" s="35"/>
      <c r="D468" s="10"/>
      <c r="E468" s="36"/>
      <c r="F468" s="3"/>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38"/>
      <c r="B469" s="10"/>
      <c r="C469" s="35"/>
      <c r="D469" s="10"/>
      <c r="E469" s="36"/>
      <c r="F469" s="3"/>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38"/>
      <c r="B470" s="10"/>
      <c r="C470" s="35"/>
      <c r="D470" s="10"/>
      <c r="E470" s="36"/>
      <c r="F470" s="3"/>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38"/>
      <c r="B471" s="10"/>
      <c r="C471" s="35"/>
      <c r="D471" s="10"/>
      <c r="E471" s="36"/>
      <c r="F471" s="3"/>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38"/>
      <c r="B472" s="10"/>
      <c r="C472" s="35"/>
      <c r="D472" s="10"/>
      <c r="E472" s="36"/>
      <c r="F472" s="3"/>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38"/>
      <c r="B473" s="10"/>
      <c r="C473" s="35"/>
      <c r="D473" s="10"/>
      <c r="E473" s="36"/>
      <c r="F473" s="3"/>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38"/>
      <c r="B474" s="10"/>
      <c r="C474" s="35"/>
      <c r="D474" s="10"/>
      <c r="E474" s="36"/>
      <c r="F474" s="3"/>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38"/>
      <c r="B475" s="10"/>
      <c r="C475" s="35"/>
      <c r="D475" s="10"/>
      <c r="E475" s="36"/>
      <c r="F475" s="3"/>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38"/>
      <c r="B476" s="10"/>
      <c r="C476" s="35"/>
      <c r="D476" s="10"/>
      <c r="E476" s="36"/>
      <c r="F476" s="3"/>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38"/>
      <c r="B477" s="10"/>
      <c r="C477" s="35"/>
      <c r="D477" s="10"/>
      <c r="E477" s="36"/>
      <c r="F477" s="3"/>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38"/>
      <c r="B478" s="10"/>
      <c r="C478" s="35"/>
      <c r="D478" s="10"/>
      <c r="E478" s="36"/>
      <c r="F478" s="3"/>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38"/>
      <c r="B479" s="10"/>
      <c r="C479" s="35"/>
      <c r="D479" s="10"/>
      <c r="E479" s="36"/>
      <c r="F479" s="3"/>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38"/>
      <c r="B480" s="10"/>
      <c r="C480" s="35"/>
      <c r="D480" s="10"/>
      <c r="E480" s="36"/>
      <c r="F480" s="3"/>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38"/>
      <c r="B481" s="10"/>
      <c r="C481" s="35"/>
      <c r="D481" s="10"/>
      <c r="E481" s="36"/>
      <c r="F481" s="3"/>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38"/>
      <c r="B482" s="10"/>
      <c r="C482" s="35"/>
      <c r="D482" s="10"/>
      <c r="E482" s="36"/>
      <c r="F482" s="3"/>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38"/>
      <c r="B483" s="10"/>
      <c r="C483" s="35"/>
      <c r="D483" s="10"/>
      <c r="E483" s="36"/>
      <c r="F483" s="3"/>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38"/>
      <c r="B484" s="10"/>
      <c r="C484" s="35"/>
      <c r="D484" s="10"/>
      <c r="E484" s="36"/>
      <c r="F484" s="3"/>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38"/>
      <c r="B485" s="10"/>
      <c r="C485" s="35"/>
      <c r="D485" s="10"/>
      <c r="E485" s="36"/>
      <c r="F485" s="3"/>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38"/>
      <c r="B486" s="10"/>
      <c r="C486" s="35"/>
      <c r="D486" s="10"/>
      <c r="E486" s="36"/>
      <c r="F486" s="3"/>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38"/>
      <c r="B487" s="10"/>
      <c r="C487" s="35"/>
      <c r="D487" s="10"/>
      <c r="E487" s="36"/>
      <c r="F487" s="3"/>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38"/>
      <c r="B488" s="10"/>
      <c r="C488" s="35"/>
      <c r="D488" s="10"/>
      <c r="E488" s="36"/>
      <c r="F488" s="3"/>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38"/>
      <c r="B489" s="10"/>
      <c r="C489" s="35"/>
      <c r="D489" s="10"/>
      <c r="E489" s="36"/>
      <c r="F489" s="3"/>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38"/>
      <c r="B490" s="10"/>
      <c r="C490" s="35"/>
      <c r="D490" s="10"/>
      <c r="E490" s="36"/>
      <c r="F490" s="3"/>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38"/>
      <c r="B491" s="10"/>
      <c r="C491" s="35"/>
      <c r="D491" s="10"/>
      <c r="E491" s="36"/>
      <c r="F491" s="3"/>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38"/>
      <c r="B492" s="10"/>
      <c r="C492" s="35"/>
      <c r="D492" s="10"/>
      <c r="E492" s="36"/>
      <c r="F492" s="3"/>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38"/>
      <c r="B493" s="10"/>
      <c r="C493" s="35"/>
      <c r="D493" s="10"/>
      <c r="E493" s="36"/>
      <c r="F493" s="3"/>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38"/>
      <c r="B494" s="10"/>
      <c r="C494" s="35"/>
      <c r="D494" s="10"/>
      <c r="E494" s="36"/>
      <c r="F494" s="3"/>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38"/>
      <c r="B495" s="10"/>
      <c r="C495" s="35"/>
      <c r="D495" s="10"/>
      <c r="E495" s="36"/>
      <c r="F495" s="3"/>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38"/>
      <c r="B496" s="10"/>
      <c r="C496" s="35"/>
      <c r="D496" s="10"/>
      <c r="E496" s="36"/>
      <c r="F496" s="3"/>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38"/>
      <c r="B497" s="10"/>
      <c r="C497" s="35"/>
      <c r="D497" s="10"/>
      <c r="E497" s="36"/>
      <c r="F497" s="3"/>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38"/>
      <c r="B498" s="10"/>
      <c r="C498" s="35"/>
      <c r="D498" s="10"/>
      <c r="E498" s="36"/>
      <c r="F498" s="3"/>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38"/>
      <c r="B499" s="10"/>
      <c r="C499" s="35"/>
      <c r="D499" s="10"/>
      <c r="E499" s="36"/>
      <c r="F499" s="3"/>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38"/>
      <c r="B500" s="10"/>
      <c r="C500" s="35"/>
      <c r="D500" s="10"/>
      <c r="E500" s="36"/>
      <c r="F500" s="3"/>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38"/>
      <c r="B501" s="10"/>
      <c r="C501" s="35"/>
      <c r="D501" s="10"/>
      <c r="E501" s="36"/>
      <c r="F501" s="3"/>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38"/>
      <c r="B502" s="10"/>
      <c r="C502" s="35"/>
      <c r="D502" s="10"/>
      <c r="E502" s="36"/>
      <c r="F502" s="3"/>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38"/>
      <c r="B503" s="10"/>
      <c r="C503" s="35"/>
      <c r="D503" s="10"/>
      <c r="E503" s="36"/>
      <c r="F503" s="3"/>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38"/>
      <c r="B504" s="10"/>
      <c r="C504" s="35"/>
      <c r="D504" s="10"/>
      <c r="E504" s="36"/>
      <c r="F504" s="3"/>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38"/>
      <c r="B505" s="10"/>
      <c r="C505" s="35"/>
      <c r="D505" s="10"/>
      <c r="E505" s="36"/>
      <c r="F505" s="3"/>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38"/>
      <c r="B506" s="10"/>
      <c r="C506" s="35"/>
      <c r="D506" s="10"/>
      <c r="E506" s="36"/>
      <c r="F506" s="3"/>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38"/>
      <c r="B507" s="10"/>
      <c r="C507" s="35"/>
      <c r="D507" s="10"/>
      <c r="E507" s="36"/>
      <c r="F507" s="3"/>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38"/>
      <c r="B508" s="10"/>
      <c r="C508" s="35"/>
      <c r="D508" s="10"/>
      <c r="E508" s="36"/>
      <c r="F508" s="3"/>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38"/>
      <c r="B509" s="10"/>
      <c r="C509" s="35"/>
      <c r="D509" s="10"/>
      <c r="E509" s="36"/>
      <c r="F509" s="3"/>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38"/>
      <c r="B510" s="10"/>
      <c r="C510" s="35"/>
      <c r="D510" s="10"/>
      <c r="E510" s="36"/>
      <c r="F510" s="3"/>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38"/>
      <c r="B511" s="10"/>
      <c r="C511" s="35"/>
      <c r="D511" s="10"/>
      <c r="E511" s="36"/>
      <c r="F511" s="3"/>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38"/>
      <c r="B512" s="10"/>
      <c r="C512" s="35"/>
      <c r="D512" s="10"/>
      <c r="E512" s="36"/>
      <c r="F512" s="3"/>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38"/>
      <c r="B513" s="10"/>
      <c r="C513" s="35"/>
      <c r="D513" s="10"/>
      <c r="E513" s="36"/>
      <c r="F513" s="3"/>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38"/>
      <c r="B514" s="10"/>
      <c r="C514" s="35"/>
      <c r="D514" s="10"/>
      <c r="E514" s="36"/>
      <c r="F514" s="3"/>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38"/>
      <c r="B515" s="10"/>
      <c r="C515" s="35"/>
      <c r="D515" s="10"/>
      <c r="E515" s="36"/>
      <c r="F515" s="3"/>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38"/>
      <c r="B516" s="10"/>
      <c r="C516" s="35"/>
      <c r="D516" s="10"/>
      <c r="E516" s="36"/>
      <c r="F516" s="3"/>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38"/>
      <c r="B517" s="10"/>
      <c r="C517" s="35"/>
      <c r="D517" s="10"/>
      <c r="E517" s="36"/>
      <c r="F517" s="3"/>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38"/>
      <c r="B518" s="10"/>
      <c r="C518" s="35"/>
      <c r="D518" s="10"/>
      <c r="E518" s="36"/>
      <c r="F518" s="3"/>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38"/>
      <c r="B519" s="10"/>
      <c r="C519" s="35"/>
      <c r="D519" s="10"/>
      <c r="E519" s="36"/>
      <c r="F519" s="3"/>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38"/>
      <c r="B520" s="10"/>
      <c r="C520" s="35"/>
      <c r="D520" s="10"/>
      <c r="E520" s="36"/>
      <c r="F520" s="3"/>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38"/>
      <c r="B521" s="10"/>
      <c r="C521" s="35"/>
      <c r="D521" s="10"/>
      <c r="E521" s="36"/>
      <c r="F521" s="3"/>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38"/>
      <c r="B522" s="10"/>
      <c r="C522" s="35"/>
      <c r="D522" s="10"/>
      <c r="E522" s="36"/>
      <c r="F522" s="3"/>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38"/>
      <c r="B523" s="10"/>
      <c r="C523" s="35"/>
      <c r="D523" s="10"/>
      <c r="E523" s="36"/>
      <c r="F523" s="3"/>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38"/>
      <c r="B524" s="10"/>
      <c r="C524" s="35"/>
      <c r="D524" s="10"/>
      <c r="E524" s="36"/>
      <c r="F524" s="3"/>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38"/>
      <c r="B525" s="10"/>
      <c r="C525" s="35"/>
      <c r="D525" s="10"/>
      <c r="E525" s="36"/>
      <c r="F525" s="3"/>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38"/>
      <c r="B526" s="10"/>
      <c r="C526" s="35"/>
      <c r="D526" s="10"/>
      <c r="E526" s="36"/>
      <c r="F526" s="3"/>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38"/>
      <c r="B527" s="10"/>
      <c r="C527" s="35"/>
      <c r="D527" s="10"/>
      <c r="E527" s="36"/>
      <c r="F527" s="3"/>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38"/>
      <c r="B528" s="10"/>
      <c r="C528" s="35"/>
      <c r="D528" s="10"/>
      <c r="E528" s="36"/>
      <c r="F528" s="3"/>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38"/>
      <c r="B529" s="10"/>
      <c r="C529" s="35"/>
      <c r="D529" s="10"/>
      <c r="E529" s="36"/>
      <c r="F529" s="3"/>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38"/>
      <c r="B530" s="10"/>
      <c r="C530" s="35"/>
      <c r="D530" s="10"/>
      <c r="E530" s="36"/>
      <c r="F530" s="3"/>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38"/>
      <c r="B531" s="10"/>
      <c r="C531" s="35"/>
      <c r="D531" s="10"/>
      <c r="E531" s="36"/>
      <c r="F531" s="3"/>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38"/>
      <c r="B532" s="10"/>
      <c r="C532" s="35"/>
      <c r="D532" s="10"/>
      <c r="E532" s="36"/>
      <c r="F532" s="3"/>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38"/>
      <c r="B533" s="10"/>
      <c r="C533" s="35"/>
      <c r="D533" s="10"/>
      <c r="E533" s="36"/>
      <c r="F533" s="3"/>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38"/>
      <c r="B534" s="10"/>
      <c r="C534" s="35"/>
      <c r="D534" s="10"/>
      <c r="E534" s="36"/>
      <c r="F534" s="3"/>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38"/>
      <c r="B535" s="10"/>
      <c r="C535" s="35"/>
      <c r="D535" s="10"/>
      <c r="E535" s="36"/>
      <c r="F535" s="3"/>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38"/>
      <c r="B536" s="10"/>
      <c r="C536" s="35"/>
      <c r="D536" s="10"/>
      <c r="E536" s="36"/>
      <c r="F536" s="3"/>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38"/>
      <c r="B537" s="10"/>
      <c r="C537" s="35"/>
      <c r="D537" s="10"/>
      <c r="E537" s="36"/>
      <c r="F537" s="3"/>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38"/>
      <c r="B538" s="10"/>
      <c r="C538" s="35"/>
      <c r="D538" s="10"/>
      <c r="E538" s="36"/>
      <c r="F538" s="3"/>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38"/>
      <c r="B539" s="10"/>
      <c r="C539" s="35"/>
      <c r="D539" s="10"/>
      <c r="E539" s="36"/>
      <c r="F539" s="3"/>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38"/>
      <c r="B540" s="10"/>
      <c r="C540" s="35"/>
      <c r="D540" s="10"/>
      <c r="E540" s="36"/>
      <c r="F540" s="3"/>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38"/>
      <c r="B541" s="10"/>
      <c r="C541" s="35"/>
      <c r="D541" s="10"/>
      <c r="E541" s="36"/>
      <c r="F541" s="3"/>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38"/>
      <c r="B542" s="10"/>
      <c r="C542" s="35"/>
      <c r="D542" s="10"/>
      <c r="E542" s="36"/>
      <c r="F542" s="3"/>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38"/>
      <c r="B543" s="10"/>
      <c r="C543" s="35"/>
      <c r="D543" s="10"/>
      <c r="E543" s="36"/>
      <c r="F543" s="3"/>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38"/>
      <c r="B544" s="10"/>
      <c r="C544" s="35"/>
      <c r="D544" s="10"/>
      <c r="E544" s="36"/>
      <c r="F544" s="3"/>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38"/>
      <c r="B545" s="10"/>
      <c r="C545" s="35"/>
      <c r="D545" s="10"/>
      <c r="E545" s="36"/>
      <c r="F545" s="3"/>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38"/>
      <c r="B546" s="10"/>
      <c r="C546" s="35"/>
      <c r="D546" s="10"/>
      <c r="E546" s="36"/>
      <c r="F546" s="3"/>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38"/>
      <c r="B547" s="10"/>
      <c r="C547" s="35"/>
      <c r="D547" s="10"/>
      <c r="E547" s="36"/>
      <c r="F547" s="3"/>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38"/>
      <c r="B548" s="10"/>
      <c r="C548" s="35"/>
      <c r="D548" s="10"/>
      <c r="E548" s="36"/>
      <c r="F548" s="3"/>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38"/>
      <c r="B549" s="10"/>
      <c r="C549" s="35"/>
      <c r="D549" s="10"/>
      <c r="E549" s="36"/>
      <c r="F549" s="3"/>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38"/>
      <c r="B550" s="10"/>
      <c r="C550" s="35"/>
      <c r="D550" s="10"/>
      <c r="E550" s="36"/>
      <c r="F550" s="3"/>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38"/>
      <c r="B551" s="10"/>
      <c r="C551" s="35"/>
      <c r="D551" s="10"/>
      <c r="E551" s="36"/>
      <c r="F551" s="3"/>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38"/>
      <c r="B552" s="10"/>
      <c r="C552" s="35"/>
      <c r="D552" s="10"/>
      <c r="E552" s="36"/>
      <c r="F552" s="3"/>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38"/>
      <c r="B553" s="10"/>
      <c r="C553" s="35"/>
      <c r="D553" s="10"/>
      <c r="E553" s="36"/>
      <c r="F553" s="3"/>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38"/>
      <c r="B554" s="10"/>
      <c r="C554" s="35"/>
      <c r="D554" s="10"/>
      <c r="E554" s="36"/>
      <c r="F554" s="3"/>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38"/>
      <c r="B555" s="10"/>
      <c r="C555" s="35"/>
      <c r="D555" s="10"/>
      <c r="E555" s="36"/>
      <c r="F555" s="3"/>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38"/>
      <c r="B556" s="10"/>
      <c r="C556" s="35"/>
      <c r="D556" s="10"/>
      <c r="E556" s="36"/>
      <c r="F556" s="3"/>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38"/>
      <c r="B557" s="10"/>
      <c r="C557" s="35"/>
      <c r="D557" s="10"/>
      <c r="E557" s="36"/>
      <c r="F557" s="3"/>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38"/>
      <c r="B558" s="10"/>
      <c r="C558" s="35"/>
      <c r="D558" s="10"/>
      <c r="E558" s="36"/>
      <c r="F558" s="3"/>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38"/>
      <c r="B559" s="10"/>
      <c r="C559" s="35"/>
      <c r="D559" s="10"/>
      <c r="E559" s="36"/>
      <c r="F559" s="3"/>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38"/>
      <c r="B560" s="10"/>
      <c r="C560" s="35"/>
      <c r="D560" s="10"/>
      <c r="E560" s="36"/>
      <c r="F560" s="3"/>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38"/>
      <c r="B561" s="10"/>
      <c r="C561" s="35"/>
      <c r="D561" s="10"/>
      <c r="E561" s="36"/>
      <c r="F561" s="3"/>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38"/>
      <c r="B562" s="10"/>
      <c r="C562" s="35"/>
      <c r="D562" s="10"/>
      <c r="E562" s="36"/>
      <c r="F562" s="3"/>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38"/>
      <c r="B563" s="10"/>
      <c r="C563" s="35"/>
      <c r="D563" s="10"/>
      <c r="E563" s="36"/>
      <c r="F563" s="3"/>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38"/>
      <c r="B564" s="10"/>
      <c r="C564" s="35"/>
      <c r="D564" s="10"/>
      <c r="E564" s="36"/>
      <c r="F564" s="3"/>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38"/>
      <c r="B565" s="10"/>
      <c r="C565" s="35"/>
      <c r="D565" s="10"/>
      <c r="E565" s="36"/>
      <c r="F565" s="3"/>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38"/>
      <c r="B566" s="10"/>
      <c r="C566" s="35"/>
      <c r="D566" s="10"/>
      <c r="E566" s="36"/>
      <c r="F566" s="3"/>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38"/>
      <c r="B567" s="10"/>
      <c r="C567" s="35"/>
      <c r="D567" s="10"/>
      <c r="E567" s="36"/>
      <c r="F567" s="3"/>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38"/>
      <c r="B568" s="10"/>
      <c r="C568" s="35"/>
      <c r="D568" s="10"/>
      <c r="E568" s="36"/>
      <c r="F568" s="3"/>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38"/>
      <c r="B569" s="10"/>
      <c r="C569" s="35"/>
      <c r="D569" s="10"/>
      <c r="E569" s="36"/>
      <c r="F569" s="3"/>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38"/>
      <c r="B570" s="10"/>
      <c r="C570" s="35"/>
      <c r="D570" s="10"/>
      <c r="E570" s="36"/>
      <c r="F570" s="3"/>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38"/>
      <c r="B571" s="10"/>
      <c r="C571" s="35"/>
      <c r="D571" s="10"/>
      <c r="E571" s="36"/>
      <c r="F571" s="3"/>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38"/>
      <c r="B572" s="10"/>
      <c r="C572" s="35"/>
      <c r="D572" s="10"/>
      <c r="E572" s="36"/>
      <c r="F572" s="3"/>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38"/>
      <c r="B573" s="10"/>
      <c r="C573" s="35"/>
      <c r="D573" s="10"/>
      <c r="E573" s="36"/>
      <c r="F573" s="3"/>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38"/>
      <c r="B574" s="10"/>
      <c r="C574" s="35"/>
      <c r="D574" s="10"/>
      <c r="E574" s="36"/>
      <c r="F574" s="3"/>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38"/>
      <c r="B575" s="10"/>
      <c r="C575" s="35"/>
      <c r="D575" s="10"/>
      <c r="E575" s="36"/>
      <c r="F575" s="3"/>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38"/>
      <c r="B576" s="10"/>
      <c r="C576" s="35"/>
      <c r="D576" s="10"/>
      <c r="E576" s="36"/>
      <c r="F576" s="3"/>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38"/>
      <c r="B577" s="10"/>
      <c r="C577" s="35"/>
      <c r="D577" s="10"/>
      <c r="E577" s="36"/>
      <c r="F577" s="3"/>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38"/>
      <c r="B578" s="10"/>
      <c r="C578" s="35"/>
      <c r="D578" s="10"/>
      <c r="E578" s="36"/>
      <c r="F578" s="3"/>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38"/>
      <c r="B579" s="10"/>
      <c r="C579" s="35"/>
      <c r="D579" s="10"/>
      <c r="E579" s="36"/>
      <c r="F579" s="3"/>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38"/>
      <c r="B580" s="10"/>
      <c r="C580" s="35"/>
      <c r="D580" s="10"/>
      <c r="E580" s="36"/>
      <c r="F580" s="3"/>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38"/>
      <c r="B581" s="10"/>
      <c r="C581" s="35"/>
      <c r="D581" s="10"/>
      <c r="E581" s="36"/>
      <c r="F581" s="3"/>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38"/>
      <c r="B582" s="10"/>
      <c r="C582" s="35"/>
      <c r="D582" s="10"/>
      <c r="E582" s="36"/>
      <c r="F582" s="3"/>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38"/>
      <c r="B583" s="10"/>
      <c r="C583" s="35"/>
      <c r="D583" s="10"/>
      <c r="E583" s="36"/>
      <c r="F583" s="3"/>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38"/>
      <c r="B584" s="10"/>
      <c r="C584" s="35"/>
      <c r="D584" s="10"/>
      <c r="E584" s="36"/>
      <c r="F584" s="3"/>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38"/>
      <c r="B585" s="10"/>
      <c r="C585" s="35"/>
      <c r="D585" s="10"/>
      <c r="E585" s="36"/>
      <c r="F585" s="3"/>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38"/>
      <c r="B586" s="10"/>
      <c r="C586" s="35"/>
      <c r="D586" s="10"/>
      <c r="E586" s="36"/>
      <c r="F586" s="3"/>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38"/>
      <c r="B587" s="10"/>
      <c r="C587" s="35"/>
      <c r="D587" s="10"/>
      <c r="E587" s="36"/>
      <c r="F587" s="3"/>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38"/>
      <c r="B588" s="10"/>
      <c r="C588" s="35"/>
      <c r="D588" s="10"/>
      <c r="E588" s="36"/>
      <c r="F588" s="3"/>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38"/>
      <c r="B589" s="10"/>
      <c r="C589" s="35"/>
      <c r="D589" s="10"/>
      <c r="E589" s="36"/>
      <c r="F589" s="3"/>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38"/>
      <c r="B590" s="10"/>
      <c r="C590" s="35"/>
      <c r="D590" s="10"/>
      <c r="E590" s="36"/>
      <c r="F590" s="3"/>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38"/>
      <c r="B591" s="10"/>
      <c r="C591" s="35"/>
      <c r="D591" s="10"/>
      <c r="E591" s="36"/>
      <c r="F591" s="3"/>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38"/>
      <c r="B592" s="10"/>
      <c r="C592" s="35"/>
      <c r="D592" s="10"/>
      <c r="E592" s="36"/>
      <c r="F592" s="3"/>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38"/>
      <c r="B593" s="10"/>
      <c r="C593" s="35"/>
      <c r="D593" s="10"/>
      <c r="E593" s="36"/>
      <c r="F593" s="3"/>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38"/>
      <c r="B594" s="10"/>
      <c r="C594" s="35"/>
      <c r="D594" s="10"/>
      <c r="E594" s="36"/>
      <c r="F594" s="3"/>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38"/>
      <c r="B595" s="10"/>
      <c r="C595" s="35"/>
      <c r="D595" s="10"/>
      <c r="E595" s="36"/>
      <c r="F595" s="3"/>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38"/>
      <c r="B596" s="10"/>
      <c r="C596" s="35"/>
      <c r="D596" s="10"/>
      <c r="E596" s="36"/>
      <c r="F596" s="3"/>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38"/>
      <c r="B597" s="10"/>
      <c r="C597" s="35"/>
      <c r="D597" s="10"/>
      <c r="E597" s="36"/>
      <c r="F597" s="3"/>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38"/>
      <c r="B598" s="10"/>
      <c r="C598" s="35"/>
      <c r="D598" s="10"/>
      <c r="E598" s="36"/>
      <c r="F598" s="3"/>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38"/>
      <c r="B599" s="10"/>
      <c r="C599" s="35"/>
      <c r="D599" s="10"/>
      <c r="E599" s="36"/>
      <c r="F599" s="3"/>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38"/>
      <c r="B600" s="10"/>
      <c r="C600" s="35"/>
      <c r="D600" s="10"/>
      <c r="E600" s="36"/>
      <c r="F600" s="3"/>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38"/>
      <c r="B601" s="10"/>
      <c r="C601" s="35"/>
      <c r="D601" s="10"/>
      <c r="E601" s="36"/>
      <c r="F601" s="3"/>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38"/>
      <c r="B602" s="10"/>
      <c r="C602" s="35"/>
      <c r="D602" s="10"/>
      <c r="E602" s="36"/>
      <c r="F602" s="3"/>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38"/>
      <c r="B603" s="10"/>
      <c r="C603" s="35"/>
      <c r="D603" s="10"/>
      <c r="E603" s="36"/>
      <c r="F603" s="3"/>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38"/>
      <c r="B604" s="10"/>
      <c r="C604" s="35"/>
      <c r="D604" s="10"/>
      <c r="E604" s="36"/>
      <c r="F604" s="3"/>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38"/>
      <c r="B605" s="10"/>
      <c r="C605" s="35"/>
      <c r="D605" s="10"/>
      <c r="E605" s="36"/>
      <c r="F605" s="3"/>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38"/>
      <c r="B606" s="10"/>
      <c r="C606" s="35"/>
      <c r="D606" s="10"/>
      <c r="E606" s="36"/>
      <c r="F606" s="3"/>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38"/>
      <c r="B607" s="10"/>
      <c r="C607" s="35"/>
      <c r="D607" s="10"/>
      <c r="E607" s="36"/>
      <c r="F607" s="3"/>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38"/>
      <c r="B608" s="10"/>
      <c r="C608" s="35"/>
      <c r="D608" s="10"/>
      <c r="E608" s="36"/>
      <c r="F608" s="3"/>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38"/>
      <c r="B609" s="10"/>
      <c r="C609" s="35"/>
      <c r="D609" s="10"/>
      <c r="E609" s="36"/>
      <c r="F609" s="3"/>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38"/>
      <c r="B610" s="10"/>
      <c r="C610" s="35"/>
      <c r="D610" s="10"/>
      <c r="E610" s="36"/>
      <c r="F610" s="3"/>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38"/>
      <c r="B611" s="10"/>
      <c r="C611" s="35"/>
      <c r="D611" s="10"/>
      <c r="E611" s="36"/>
      <c r="F611" s="3"/>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38"/>
      <c r="B612" s="10"/>
      <c r="C612" s="35"/>
      <c r="D612" s="10"/>
      <c r="E612" s="36"/>
      <c r="F612" s="3"/>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38"/>
      <c r="B613" s="10"/>
      <c r="C613" s="35"/>
      <c r="D613" s="10"/>
      <c r="E613" s="36"/>
      <c r="F613" s="3"/>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38"/>
      <c r="B614" s="10"/>
      <c r="C614" s="35"/>
      <c r="D614" s="10"/>
      <c r="E614" s="36"/>
      <c r="F614" s="3"/>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38"/>
      <c r="B615" s="10"/>
      <c r="C615" s="35"/>
      <c r="D615" s="10"/>
      <c r="E615" s="36"/>
      <c r="F615" s="3"/>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38"/>
      <c r="B616" s="10"/>
      <c r="C616" s="35"/>
      <c r="D616" s="10"/>
      <c r="E616" s="36"/>
      <c r="F616" s="3"/>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38"/>
      <c r="B617" s="10"/>
      <c r="C617" s="35"/>
      <c r="D617" s="10"/>
      <c r="E617" s="36"/>
      <c r="F617" s="3"/>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38"/>
      <c r="B618" s="10"/>
      <c r="C618" s="35"/>
      <c r="D618" s="10"/>
      <c r="E618" s="36"/>
      <c r="F618" s="3"/>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38"/>
      <c r="B619" s="10"/>
      <c r="C619" s="35"/>
      <c r="D619" s="10"/>
      <c r="E619" s="36"/>
      <c r="F619" s="3"/>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38"/>
      <c r="B620" s="10"/>
      <c r="C620" s="35"/>
      <c r="D620" s="10"/>
      <c r="E620" s="36"/>
      <c r="F620" s="3"/>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38"/>
      <c r="B621" s="10"/>
      <c r="C621" s="35"/>
      <c r="D621" s="10"/>
      <c r="E621" s="36"/>
      <c r="F621" s="3"/>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38"/>
      <c r="B622" s="10"/>
      <c r="C622" s="35"/>
      <c r="D622" s="10"/>
      <c r="E622" s="36"/>
      <c r="F622" s="3"/>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38"/>
      <c r="B623" s="10"/>
      <c r="C623" s="35"/>
      <c r="D623" s="10"/>
      <c r="E623" s="36"/>
      <c r="F623" s="3"/>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38"/>
      <c r="B624" s="10"/>
      <c r="C624" s="35"/>
      <c r="D624" s="10"/>
      <c r="E624" s="36"/>
      <c r="F624" s="3"/>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38"/>
      <c r="B625" s="10"/>
      <c r="C625" s="35"/>
      <c r="D625" s="10"/>
      <c r="E625" s="36"/>
      <c r="F625" s="3"/>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38"/>
      <c r="B626" s="10"/>
      <c r="C626" s="35"/>
      <c r="D626" s="10"/>
      <c r="E626" s="36"/>
      <c r="F626" s="3"/>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38"/>
      <c r="B627" s="10"/>
      <c r="C627" s="35"/>
      <c r="D627" s="10"/>
      <c r="E627" s="36"/>
      <c r="F627" s="3"/>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38"/>
      <c r="B628" s="10"/>
      <c r="C628" s="35"/>
      <c r="D628" s="10"/>
      <c r="E628" s="36"/>
      <c r="F628" s="3"/>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38"/>
      <c r="B629" s="10"/>
      <c r="C629" s="35"/>
      <c r="D629" s="10"/>
      <c r="E629" s="36"/>
      <c r="F629" s="3"/>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38"/>
      <c r="B630" s="10"/>
      <c r="C630" s="35"/>
      <c r="D630" s="10"/>
      <c r="E630" s="36"/>
      <c r="F630" s="3"/>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38"/>
      <c r="B631" s="10"/>
      <c r="C631" s="35"/>
      <c r="D631" s="10"/>
      <c r="E631" s="36"/>
      <c r="F631" s="3"/>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38"/>
      <c r="B632" s="10"/>
      <c r="C632" s="35"/>
      <c r="D632" s="10"/>
      <c r="E632" s="36"/>
      <c r="F632" s="3"/>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38"/>
      <c r="B633" s="10"/>
      <c r="C633" s="35"/>
      <c r="D633" s="10"/>
      <c r="E633" s="36"/>
      <c r="F633" s="3"/>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38"/>
      <c r="B634" s="10"/>
      <c r="C634" s="35"/>
      <c r="D634" s="10"/>
      <c r="E634" s="36"/>
      <c r="F634" s="3"/>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38"/>
      <c r="B635" s="10"/>
      <c r="C635" s="35"/>
      <c r="D635" s="10"/>
      <c r="E635" s="36"/>
      <c r="F635" s="3"/>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38"/>
      <c r="B636" s="10"/>
      <c r="C636" s="35"/>
      <c r="D636" s="10"/>
      <c r="E636" s="36"/>
      <c r="F636" s="3"/>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38"/>
      <c r="B637" s="10"/>
      <c r="C637" s="35"/>
      <c r="D637" s="10"/>
      <c r="E637" s="36"/>
      <c r="F637" s="3"/>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38"/>
      <c r="B638" s="10"/>
      <c r="C638" s="35"/>
      <c r="D638" s="10"/>
      <c r="E638" s="36"/>
      <c r="F638" s="3"/>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38"/>
      <c r="B639" s="10"/>
      <c r="C639" s="35"/>
      <c r="D639" s="10"/>
      <c r="E639" s="36"/>
      <c r="F639" s="3"/>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38"/>
      <c r="B640" s="10"/>
      <c r="C640" s="35"/>
      <c r="D640" s="10"/>
      <c r="E640" s="36"/>
      <c r="F640" s="3"/>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38"/>
      <c r="B641" s="10"/>
      <c r="C641" s="35"/>
      <c r="D641" s="10"/>
      <c r="E641" s="36"/>
      <c r="F641" s="3"/>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38"/>
      <c r="B642" s="10"/>
      <c r="C642" s="35"/>
      <c r="D642" s="10"/>
      <c r="E642" s="36"/>
      <c r="F642" s="3"/>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38"/>
      <c r="B643" s="10"/>
      <c r="C643" s="35"/>
      <c r="D643" s="10"/>
      <c r="E643" s="36"/>
      <c r="F643" s="3"/>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38"/>
      <c r="B644" s="10"/>
      <c r="C644" s="35"/>
      <c r="D644" s="10"/>
      <c r="E644" s="36"/>
      <c r="F644" s="3"/>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38"/>
      <c r="B645" s="10"/>
      <c r="C645" s="35"/>
      <c r="D645" s="10"/>
      <c r="E645" s="36"/>
      <c r="F645" s="3"/>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38"/>
      <c r="B646" s="10"/>
      <c r="C646" s="35"/>
      <c r="D646" s="10"/>
      <c r="E646" s="36"/>
      <c r="F646" s="3"/>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38"/>
      <c r="B647" s="10"/>
      <c r="C647" s="35"/>
      <c r="D647" s="10"/>
      <c r="E647" s="36"/>
      <c r="F647" s="3"/>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38"/>
      <c r="B648" s="10"/>
      <c r="C648" s="35"/>
      <c r="D648" s="10"/>
      <c r="E648" s="36"/>
      <c r="F648" s="3"/>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38"/>
      <c r="B649" s="10"/>
      <c r="C649" s="35"/>
      <c r="D649" s="10"/>
      <c r="E649" s="36"/>
      <c r="F649" s="3"/>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38"/>
      <c r="B650" s="10"/>
      <c r="C650" s="35"/>
      <c r="D650" s="10"/>
      <c r="E650" s="36"/>
      <c r="F650" s="3"/>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38"/>
      <c r="B651" s="10"/>
      <c r="C651" s="35"/>
      <c r="D651" s="10"/>
      <c r="E651" s="36"/>
      <c r="F651" s="3"/>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38"/>
      <c r="B652" s="10"/>
      <c r="C652" s="35"/>
      <c r="D652" s="10"/>
      <c r="E652" s="36"/>
      <c r="F652" s="3"/>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38"/>
      <c r="B653" s="10"/>
      <c r="C653" s="35"/>
      <c r="D653" s="10"/>
      <c r="E653" s="36"/>
      <c r="F653" s="3"/>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38"/>
      <c r="B654" s="10"/>
      <c r="C654" s="35"/>
      <c r="D654" s="10"/>
      <c r="E654" s="36"/>
      <c r="F654" s="3"/>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38"/>
      <c r="B655" s="10"/>
      <c r="C655" s="35"/>
      <c r="D655" s="10"/>
      <c r="E655" s="36"/>
      <c r="F655" s="3"/>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38"/>
      <c r="B656" s="10"/>
      <c r="C656" s="35"/>
      <c r="D656" s="10"/>
      <c r="E656" s="36"/>
      <c r="F656" s="3"/>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38"/>
      <c r="B657" s="10"/>
      <c r="C657" s="35"/>
      <c r="D657" s="10"/>
      <c r="E657" s="36"/>
      <c r="F657" s="3"/>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38"/>
      <c r="B658" s="10"/>
      <c r="C658" s="35"/>
      <c r="D658" s="10"/>
      <c r="E658" s="36"/>
      <c r="F658" s="3"/>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38"/>
      <c r="B659" s="10"/>
      <c r="C659" s="35"/>
      <c r="D659" s="10"/>
      <c r="E659" s="36"/>
      <c r="F659" s="3"/>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38"/>
      <c r="B660" s="10"/>
      <c r="C660" s="35"/>
      <c r="D660" s="10"/>
      <c r="E660" s="36"/>
      <c r="F660" s="3"/>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38"/>
      <c r="B661" s="10"/>
      <c r="C661" s="35"/>
      <c r="D661" s="10"/>
      <c r="E661" s="36"/>
      <c r="F661" s="3"/>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38"/>
      <c r="B662" s="10"/>
      <c r="C662" s="35"/>
      <c r="D662" s="10"/>
      <c r="E662" s="36"/>
      <c r="F662" s="3"/>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38"/>
      <c r="B663" s="10"/>
      <c r="C663" s="35"/>
      <c r="D663" s="10"/>
      <c r="E663" s="36"/>
      <c r="F663" s="3"/>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38"/>
      <c r="B664" s="10"/>
      <c r="C664" s="35"/>
      <c r="D664" s="10"/>
      <c r="E664" s="36"/>
      <c r="F664" s="3"/>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38"/>
      <c r="B665" s="10"/>
      <c r="C665" s="35"/>
      <c r="D665" s="10"/>
      <c r="E665" s="36"/>
      <c r="F665" s="3"/>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38"/>
      <c r="B666" s="10"/>
      <c r="C666" s="35"/>
      <c r="D666" s="10"/>
      <c r="E666" s="36"/>
      <c r="F666" s="3"/>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38"/>
      <c r="B667" s="10"/>
      <c r="C667" s="35"/>
      <c r="D667" s="10"/>
      <c r="E667" s="36"/>
      <c r="F667" s="3"/>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38"/>
      <c r="B668" s="10"/>
      <c r="C668" s="35"/>
      <c r="D668" s="10"/>
      <c r="E668" s="36"/>
      <c r="F668" s="3"/>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38"/>
      <c r="B669" s="10"/>
      <c r="C669" s="35"/>
      <c r="D669" s="10"/>
      <c r="E669" s="36"/>
      <c r="F669" s="3"/>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38"/>
      <c r="B670" s="10"/>
      <c r="C670" s="35"/>
      <c r="D670" s="10"/>
      <c r="E670" s="36"/>
      <c r="F670" s="3"/>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38"/>
      <c r="B671" s="10"/>
      <c r="C671" s="35"/>
      <c r="D671" s="10"/>
      <c r="E671" s="36"/>
      <c r="F671" s="3"/>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38"/>
      <c r="B672" s="10"/>
      <c r="C672" s="35"/>
      <c r="D672" s="10"/>
      <c r="E672" s="36"/>
      <c r="F672" s="3"/>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38"/>
      <c r="B673" s="10"/>
      <c r="C673" s="35"/>
      <c r="D673" s="10"/>
      <c r="E673" s="36"/>
      <c r="F673" s="3"/>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38"/>
      <c r="B674" s="10"/>
      <c r="C674" s="35"/>
      <c r="D674" s="10"/>
      <c r="E674" s="36"/>
      <c r="F674" s="3"/>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38"/>
      <c r="B675" s="10"/>
      <c r="C675" s="35"/>
      <c r="D675" s="10"/>
      <c r="E675" s="36"/>
      <c r="F675" s="3"/>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38"/>
      <c r="B676" s="10"/>
      <c r="C676" s="35"/>
      <c r="D676" s="10"/>
      <c r="E676" s="36"/>
      <c r="F676" s="3"/>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38"/>
      <c r="B677" s="10"/>
      <c r="C677" s="35"/>
      <c r="D677" s="10"/>
      <c r="E677" s="36"/>
      <c r="F677" s="3"/>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38"/>
      <c r="B678" s="10"/>
      <c r="C678" s="35"/>
      <c r="D678" s="10"/>
      <c r="E678" s="36"/>
      <c r="F678" s="3"/>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38"/>
      <c r="B679" s="10"/>
      <c r="C679" s="35"/>
      <c r="D679" s="10"/>
      <c r="E679" s="36"/>
      <c r="F679" s="3"/>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38"/>
      <c r="B680" s="10"/>
      <c r="C680" s="35"/>
      <c r="D680" s="10"/>
      <c r="E680" s="36"/>
      <c r="F680" s="3"/>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38"/>
      <c r="B681" s="10"/>
      <c r="C681" s="35"/>
      <c r="D681" s="10"/>
      <c r="E681" s="36"/>
      <c r="F681" s="3"/>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38"/>
      <c r="B682" s="10"/>
      <c r="C682" s="35"/>
      <c r="D682" s="10"/>
      <c r="E682" s="36"/>
      <c r="F682" s="3"/>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38"/>
      <c r="B683" s="10"/>
      <c r="C683" s="35"/>
      <c r="D683" s="10"/>
      <c r="E683" s="36"/>
      <c r="F683" s="3"/>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38"/>
      <c r="B684" s="10"/>
      <c r="C684" s="35"/>
      <c r="D684" s="10"/>
      <c r="E684" s="36"/>
      <c r="F684" s="3"/>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38"/>
      <c r="B685" s="10"/>
      <c r="C685" s="35"/>
      <c r="D685" s="10"/>
      <c r="E685" s="36"/>
      <c r="F685" s="3"/>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38"/>
      <c r="B686" s="10"/>
      <c r="C686" s="35"/>
      <c r="D686" s="10"/>
      <c r="E686" s="36"/>
      <c r="F686" s="3"/>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38"/>
      <c r="B687" s="10"/>
      <c r="C687" s="35"/>
      <c r="D687" s="10"/>
      <c r="E687" s="36"/>
      <c r="F687" s="3"/>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38"/>
      <c r="B688" s="10"/>
      <c r="C688" s="35"/>
      <c r="D688" s="10"/>
      <c r="E688" s="36"/>
      <c r="F688" s="3"/>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38"/>
      <c r="B689" s="10"/>
      <c r="C689" s="35"/>
      <c r="D689" s="10"/>
      <c r="E689" s="36"/>
      <c r="F689" s="3"/>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38"/>
      <c r="B690" s="10"/>
      <c r="C690" s="35"/>
      <c r="D690" s="10"/>
      <c r="E690" s="36"/>
      <c r="F690" s="3"/>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38"/>
      <c r="B691" s="10"/>
      <c r="C691" s="35"/>
      <c r="D691" s="10"/>
      <c r="E691" s="36"/>
      <c r="F691" s="3"/>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38"/>
      <c r="B692" s="10"/>
      <c r="C692" s="35"/>
      <c r="D692" s="10"/>
      <c r="E692" s="36"/>
      <c r="F692" s="3"/>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38"/>
      <c r="B693" s="10"/>
      <c r="C693" s="35"/>
      <c r="D693" s="10"/>
      <c r="E693" s="36"/>
      <c r="F693" s="3"/>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38"/>
      <c r="B694" s="10"/>
      <c r="C694" s="35"/>
      <c r="D694" s="10"/>
      <c r="E694" s="36"/>
      <c r="F694" s="3"/>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38"/>
      <c r="B695" s="10"/>
      <c r="C695" s="35"/>
      <c r="D695" s="10"/>
      <c r="E695" s="36"/>
      <c r="F695" s="3"/>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38"/>
      <c r="B696" s="10"/>
      <c r="C696" s="35"/>
      <c r="D696" s="10"/>
      <c r="E696" s="36"/>
      <c r="F696" s="3"/>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38"/>
      <c r="B697" s="10"/>
      <c r="C697" s="35"/>
      <c r="D697" s="10"/>
      <c r="E697" s="36"/>
      <c r="F697" s="3"/>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38"/>
      <c r="B698" s="10"/>
      <c r="C698" s="35"/>
      <c r="D698" s="10"/>
      <c r="E698" s="36"/>
      <c r="F698" s="3"/>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38"/>
      <c r="B699" s="10"/>
      <c r="C699" s="35"/>
      <c r="D699" s="10"/>
      <c r="E699" s="36"/>
      <c r="F699" s="3"/>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38"/>
      <c r="B700" s="10"/>
      <c r="C700" s="35"/>
      <c r="D700" s="10"/>
      <c r="E700" s="36"/>
      <c r="F700" s="3"/>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38"/>
      <c r="B701" s="10"/>
      <c r="C701" s="35"/>
      <c r="D701" s="10"/>
      <c r="E701" s="36"/>
      <c r="F701" s="3"/>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38"/>
      <c r="B702" s="10"/>
      <c r="C702" s="35"/>
      <c r="D702" s="10"/>
      <c r="E702" s="36"/>
      <c r="F702" s="3"/>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38"/>
      <c r="B703" s="10"/>
      <c r="C703" s="35"/>
      <c r="D703" s="10"/>
      <c r="E703" s="36"/>
      <c r="F703" s="3"/>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38"/>
      <c r="B704" s="10"/>
      <c r="C704" s="35"/>
      <c r="D704" s="10"/>
      <c r="E704" s="36"/>
      <c r="F704" s="3"/>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38"/>
      <c r="B705" s="10"/>
      <c r="C705" s="35"/>
      <c r="D705" s="10"/>
      <c r="E705" s="36"/>
      <c r="F705" s="3"/>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38"/>
      <c r="B706" s="10"/>
      <c r="C706" s="35"/>
      <c r="D706" s="10"/>
      <c r="E706" s="36"/>
      <c r="F706" s="3"/>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38"/>
      <c r="B707" s="10"/>
      <c r="C707" s="35"/>
      <c r="D707" s="10"/>
      <c r="E707" s="36"/>
      <c r="F707" s="3"/>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38"/>
      <c r="B708" s="10"/>
      <c r="C708" s="35"/>
      <c r="D708" s="10"/>
      <c r="E708" s="36"/>
      <c r="F708" s="3"/>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38"/>
      <c r="B709" s="10"/>
      <c r="C709" s="35"/>
      <c r="D709" s="10"/>
      <c r="E709" s="36"/>
      <c r="F709" s="3"/>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38"/>
      <c r="B710" s="10"/>
      <c r="C710" s="35"/>
      <c r="D710" s="10"/>
      <c r="E710" s="36"/>
      <c r="F710" s="3"/>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38"/>
      <c r="B711" s="10"/>
      <c r="C711" s="35"/>
      <c r="D711" s="10"/>
      <c r="E711" s="36"/>
      <c r="F711" s="3"/>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38"/>
      <c r="B712" s="10"/>
      <c r="C712" s="35"/>
      <c r="D712" s="10"/>
      <c r="E712" s="36"/>
      <c r="F712" s="3"/>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38"/>
      <c r="B713" s="10"/>
      <c r="C713" s="35"/>
      <c r="D713" s="10"/>
      <c r="E713" s="36"/>
      <c r="F713" s="3"/>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38"/>
      <c r="B714" s="10"/>
      <c r="C714" s="35"/>
      <c r="D714" s="10"/>
      <c r="E714" s="36"/>
      <c r="F714" s="3"/>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38"/>
      <c r="B715" s="10"/>
      <c r="C715" s="35"/>
      <c r="D715" s="10"/>
      <c r="E715" s="36"/>
      <c r="F715" s="3"/>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38"/>
      <c r="B716" s="10"/>
      <c r="C716" s="35"/>
      <c r="D716" s="10"/>
      <c r="E716" s="36"/>
      <c r="F716" s="3"/>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38"/>
      <c r="B717" s="10"/>
      <c r="C717" s="35"/>
      <c r="D717" s="10"/>
      <c r="E717" s="36"/>
      <c r="F717" s="3"/>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38"/>
      <c r="B718" s="10"/>
      <c r="C718" s="35"/>
      <c r="D718" s="10"/>
      <c r="E718" s="36"/>
      <c r="F718" s="3"/>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38"/>
      <c r="B719" s="10"/>
      <c r="C719" s="35"/>
      <c r="D719" s="10"/>
      <c r="E719" s="36"/>
      <c r="F719" s="3"/>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38"/>
      <c r="B720" s="10"/>
      <c r="C720" s="35"/>
      <c r="D720" s="10"/>
      <c r="E720" s="36"/>
      <c r="F720" s="3"/>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38"/>
      <c r="B721" s="10"/>
      <c r="C721" s="35"/>
      <c r="D721" s="10"/>
      <c r="E721" s="36"/>
      <c r="F721" s="3"/>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38"/>
      <c r="B722" s="10"/>
      <c r="C722" s="35"/>
      <c r="D722" s="10"/>
      <c r="E722" s="36"/>
      <c r="F722" s="3"/>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38"/>
      <c r="B723" s="10"/>
      <c r="C723" s="35"/>
      <c r="D723" s="10"/>
      <c r="E723" s="36"/>
      <c r="F723" s="3"/>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38"/>
      <c r="B724" s="10"/>
      <c r="C724" s="35"/>
      <c r="D724" s="10"/>
      <c r="E724" s="36"/>
      <c r="F724" s="3"/>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38"/>
      <c r="B725" s="10"/>
      <c r="C725" s="35"/>
      <c r="D725" s="10"/>
      <c r="E725" s="36"/>
      <c r="F725" s="3"/>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38"/>
      <c r="B726" s="10"/>
      <c r="C726" s="35"/>
      <c r="D726" s="10"/>
      <c r="E726" s="36"/>
      <c r="F726" s="3"/>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38"/>
      <c r="B727" s="10"/>
      <c r="C727" s="35"/>
      <c r="D727" s="10"/>
      <c r="E727" s="36"/>
      <c r="F727" s="3"/>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38"/>
      <c r="B728" s="10"/>
      <c r="C728" s="35"/>
      <c r="D728" s="10"/>
      <c r="E728" s="36"/>
      <c r="F728" s="3"/>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38"/>
      <c r="B729" s="10"/>
      <c r="C729" s="35"/>
      <c r="D729" s="10"/>
      <c r="E729" s="36"/>
      <c r="F729" s="3"/>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38"/>
      <c r="B730" s="10"/>
      <c r="C730" s="35"/>
      <c r="D730" s="10"/>
      <c r="E730" s="36"/>
      <c r="F730" s="3"/>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38"/>
      <c r="B731" s="10"/>
      <c r="C731" s="35"/>
      <c r="D731" s="10"/>
      <c r="E731" s="36"/>
      <c r="F731" s="3"/>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38"/>
      <c r="B732" s="10"/>
      <c r="C732" s="35"/>
      <c r="D732" s="10"/>
      <c r="E732" s="36"/>
      <c r="F732" s="3"/>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38"/>
      <c r="B733" s="10"/>
      <c r="C733" s="35"/>
      <c r="D733" s="10"/>
      <c r="E733" s="36"/>
      <c r="F733" s="3"/>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38"/>
      <c r="B734" s="10"/>
      <c r="C734" s="35"/>
      <c r="D734" s="10"/>
      <c r="E734" s="36"/>
      <c r="F734" s="3"/>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38"/>
      <c r="B735" s="10"/>
      <c r="C735" s="35"/>
      <c r="D735" s="10"/>
      <c r="E735" s="36"/>
      <c r="F735" s="3"/>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38"/>
      <c r="B736" s="10"/>
      <c r="C736" s="35"/>
      <c r="D736" s="10"/>
      <c r="E736" s="36"/>
      <c r="F736" s="3"/>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38"/>
      <c r="B737" s="10"/>
      <c r="C737" s="35"/>
      <c r="D737" s="10"/>
      <c r="E737" s="36"/>
      <c r="F737" s="3"/>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38"/>
      <c r="B738" s="10"/>
      <c r="C738" s="35"/>
      <c r="D738" s="10"/>
      <c r="E738" s="36"/>
      <c r="F738" s="3"/>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38"/>
      <c r="B739" s="10"/>
      <c r="C739" s="35"/>
      <c r="D739" s="10"/>
      <c r="E739" s="36"/>
      <c r="F739" s="3"/>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38"/>
      <c r="B740" s="10"/>
      <c r="C740" s="35"/>
      <c r="D740" s="10"/>
      <c r="E740" s="36"/>
      <c r="F740" s="3"/>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38"/>
      <c r="B741" s="10"/>
      <c r="C741" s="35"/>
      <c r="D741" s="10"/>
      <c r="E741" s="36"/>
      <c r="F741" s="3"/>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38"/>
      <c r="B742" s="10"/>
      <c r="C742" s="35"/>
      <c r="D742" s="10"/>
      <c r="E742" s="36"/>
      <c r="F742" s="3"/>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38"/>
      <c r="B743" s="10"/>
      <c r="C743" s="35"/>
      <c r="D743" s="10"/>
      <c r="E743" s="36"/>
      <c r="F743" s="3"/>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38"/>
      <c r="B744" s="10"/>
      <c r="C744" s="35"/>
      <c r="D744" s="10"/>
      <c r="E744" s="36"/>
      <c r="F744" s="3"/>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38"/>
      <c r="B745" s="10"/>
      <c r="C745" s="35"/>
      <c r="D745" s="10"/>
      <c r="E745" s="36"/>
      <c r="F745" s="3"/>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38"/>
      <c r="B746" s="10"/>
      <c r="C746" s="35"/>
      <c r="D746" s="10"/>
      <c r="E746" s="36"/>
      <c r="F746" s="3"/>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38"/>
      <c r="B747" s="10"/>
      <c r="C747" s="35"/>
      <c r="D747" s="10"/>
      <c r="E747" s="36"/>
      <c r="F747" s="3"/>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38"/>
      <c r="B748" s="10"/>
      <c r="C748" s="35"/>
      <c r="D748" s="10"/>
      <c r="E748" s="36"/>
      <c r="F748" s="3"/>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38"/>
      <c r="B749" s="10"/>
      <c r="C749" s="35"/>
      <c r="D749" s="10"/>
      <c r="E749" s="36"/>
      <c r="F749" s="3"/>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38"/>
      <c r="B750" s="10"/>
      <c r="C750" s="35"/>
      <c r="D750" s="10"/>
      <c r="E750" s="36"/>
      <c r="F750" s="3"/>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38"/>
      <c r="B751" s="10"/>
      <c r="C751" s="35"/>
      <c r="D751" s="10"/>
      <c r="E751" s="36"/>
      <c r="F751" s="3"/>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38"/>
      <c r="B752" s="10"/>
      <c r="C752" s="35"/>
      <c r="D752" s="10"/>
      <c r="E752" s="36"/>
      <c r="F752" s="3"/>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38"/>
      <c r="B753" s="10"/>
      <c r="C753" s="35"/>
      <c r="D753" s="10"/>
      <c r="E753" s="36"/>
      <c r="F753" s="3"/>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38"/>
      <c r="B754" s="10"/>
      <c r="C754" s="35"/>
      <c r="D754" s="10"/>
      <c r="E754" s="36"/>
      <c r="F754" s="3"/>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38"/>
      <c r="B755" s="10"/>
      <c r="C755" s="35"/>
      <c r="D755" s="10"/>
      <c r="E755" s="36"/>
      <c r="F755" s="3"/>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38"/>
      <c r="B756" s="10"/>
      <c r="C756" s="35"/>
      <c r="D756" s="10"/>
      <c r="E756" s="36"/>
      <c r="F756" s="3"/>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38"/>
      <c r="B757" s="10"/>
      <c r="C757" s="35"/>
      <c r="D757" s="10"/>
      <c r="E757" s="36"/>
      <c r="F757" s="3"/>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38"/>
      <c r="B758" s="10"/>
      <c r="C758" s="35"/>
      <c r="D758" s="10"/>
      <c r="E758" s="36"/>
      <c r="F758" s="3"/>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38"/>
      <c r="B759" s="10"/>
      <c r="C759" s="35"/>
      <c r="D759" s="10"/>
      <c r="E759" s="36"/>
      <c r="F759" s="3"/>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38"/>
      <c r="B760" s="10"/>
      <c r="C760" s="35"/>
      <c r="D760" s="10"/>
      <c r="E760" s="36"/>
      <c r="F760" s="3"/>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38"/>
      <c r="B761" s="10"/>
      <c r="C761" s="35"/>
      <c r="D761" s="10"/>
      <c r="E761" s="36"/>
      <c r="F761" s="3"/>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38"/>
      <c r="B762" s="10"/>
      <c r="C762" s="35"/>
      <c r="D762" s="10"/>
      <c r="E762" s="36"/>
      <c r="F762" s="3"/>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38"/>
      <c r="B763" s="10"/>
      <c r="C763" s="35"/>
      <c r="D763" s="10"/>
      <c r="E763" s="36"/>
      <c r="F763" s="3"/>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38"/>
      <c r="B764" s="10"/>
      <c r="C764" s="35"/>
      <c r="D764" s="10"/>
      <c r="E764" s="36"/>
      <c r="F764" s="3"/>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38"/>
      <c r="B765" s="10"/>
      <c r="C765" s="35"/>
      <c r="D765" s="10"/>
      <c r="E765" s="36"/>
      <c r="F765" s="3"/>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38"/>
      <c r="B766" s="10"/>
      <c r="C766" s="35"/>
      <c r="D766" s="10"/>
      <c r="E766" s="36"/>
      <c r="F766" s="3"/>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38"/>
      <c r="B767" s="10"/>
      <c r="C767" s="35"/>
      <c r="D767" s="10"/>
      <c r="E767" s="36"/>
      <c r="F767" s="3"/>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38"/>
      <c r="B768" s="10"/>
      <c r="C768" s="35"/>
      <c r="D768" s="10"/>
      <c r="E768" s="36"/>
      <c r="F768" s="3"/>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38"/>
      <c r="B769" s="10"/>
      <c r="C769" s="35"/>
      <c r="D769" s="10"/>
      <c r="E769" s="36"/>
      <c r="F769" s="3"/>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38"/>
      <c r="B770" s="10"/>
      <c r="C770" s="35"/>
      <c r="D770" s="10"/>
      <c r="E770" s="36"/>
      <c r="F770" s="3"/>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38"/>
      <c r="B771" s="10"/>
      <c r="C771" s="35"/>
      <c r="D771" s="10"/>
      <c r="E771" s="36"/>
      <c r="F771" s="3"/>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38"/>
      <c r="B772" s="10"/>
      <c r="C772" s="35"/>
      <c r="D772" s="10"/>
      <c r="E772" s="36"/>
      <c r="F772" s="3"/>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38"/>
      <c r="B773" s="10"/>
      <c r="C773" s="35"/>
      <c r="D773" s="10"/>
      <c r="E773" s="36"/>
      <c r="F773" s="3"/>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38"/>
      <c r="B774" s="10"/>
      <c r="C774" s="35"/>
      <c r="D774" s="10"/>
      <c r="E774" s="36"/>
      <c r="F774" s="3"/>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38"/>
      <c r="B775" s="10"/>
      <c r="C775" s="35"/>
      <c r="D775" s="10"/>
      <c r="E775" s="36"/>
      <c r="F775" s="3"/>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38"/>
      <c r="B776" s="10"/>
      <c r="C776" s="35"/>
      <c r="D776" s="10"/>
      <c r="E776" s="36"/>
      <c r="F776" s="3"/>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38"/>
      <c r="B777" s="10"/>
      <c r="C777" s="35"/>
      <c r="D777" s="10"/>
      <c r="E777" s="36"/>
      <c r="F777" s="3"/>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38"/>
      <c r="B778" s="10"/>
      <c r="C778" s="35"/>
      <c r="D778" s="10"/>
      <c r="E778" s="36"/>
      <c r="F778" s="3"/>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38"/>
      <c r="B779" s="10"/>
      <c r="C779" s="35"/>
      <c r="D779" s="10"/>
      <c r="E779" s="36"/>
      <c r="F779" s="3"/>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38"/>
      <c r="B780" s="10"/>
      <c r="C780" s="35"/>
      <c r="D780" s="10"/>
      <c r="E780" s="36"/>
      <c r="F780" s="3"/>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38"/>
      <c r="B781" s="10"/>
      <c r="C781" s="35"/>
      <c r="D781" s="10"/>
      <c r="E781" s="36"/>
      <c r="F781" s="3"/>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38"/>
      <c r="B782" s="10"/>
      <c r="C782" s="35"/>
      <c r="D782" s="10"/>
      <c r="E782" s="36"/>
      <c r="F782" s="3"/>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38"/>
      <c r="B783" s="10"/>
      <c r="C783" s="35"/>
      <c r="D783" s="10"/>
      <c r="E783" s="36"/>
      <c r="F783" s="3"/>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38"/>
      <c r="B784" s="10"/>
      <c r="C784" s="35"/>
      <c r="D784" s="10"/>
      <c r="E784" s="36"/>
      <c r="F784" s="3"/>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38"/>
      <c r="B785" s="10"/>
      <c r="C785" s="35"/>
      <c r="D785" s="10"/>
      <c r="E785" s="36"/>
      <c r="F785" s="3"/>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38"/>
      <c r="B786" s="10"/>
      <c r="C786" s="35"/>
      <c r="D786" s="10"/>
      <c r="E786" s="36"/>
      <c r="F786" s="3"/>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38"/>
      <c r="B787" s="10"/>
      <c r="C787" s="35"/>
      <c r="D787" s="10"/>
      <c r="E787" s="36"/>
      <c r="F787" s="3"/>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38"/>
      <c r="B788" s="10"/>
      <c r="C788" s="35"/>
      <c r="D788" s="10"/>
      <c r="E788" s="36"/>
      <c r="F788" s="3"/>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38"/>
      <c r="B789" s="10"/>
      <c r="C789" s="35"/>
      <c r="D789" s="10"/>
      <c r="E789" s="36"/>
      <c r="F789" s="3"/>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38"/>
      <c r="B790" s="10"/>
      <c r="C790" s="35"/>
      <c r="D790" s="10"/>
      <c r="E790" s="36"/>
      <c r="F790" s="3"/>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38"/>
      <c r="B791" s="10"/>
      <c r="C791" s="35"/>
      <c r="D791" s="10"/>
      <c r="E791" s="36"/>
      <c r="F791" s="3"/>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38"/>
      <c r="B792" s="10"/>
      <c r="C792" s="35"/>
      <c r="D792" s="10"/>
      <c r="E792" s="36"/>
      <c r="F792" s="3"/>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38"/>
      <c r="B793" s="10"/>
      <c r="C793" s="35"/>
      <c r="D793" s="10"/>
      <c r="E793" s="36"/>
      <c r="F793" s="3"/>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38"/>
      <c r="B794" s="10"/>
      <c r="C794" s="35"/>
      <c r="D794" s="10"/>
      <c r="E794" s="36"/>
      <c r="F794" s="3"/>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38"/>
      <c r="B795" s="10"/>
      <c r="C795" s="35"/>
      <c r="D795" s="10"/>
      <c r="E795" s="36"/>
      <c r="F795" s="3"/>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38"/>
      <c r="B796" s="10"/>
      <c r="C796" s="35"/>
      <c r="D796" s="10"/>
      <c r="E796" s="36"/>
      <c r="F796" s="3"/>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38"/>
      <c r="B797" s="10"/>
      <c r="C797" s="35"/>
      <c r="D797" s="10"/>
      <c r="E797" s="36"/>
      <c r="F797" s="3"/>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38"/>
      <c r="B798" s="10"/>
      <c r="C798" s="35"/>
      <c r="D798" s="10"/>
      <c r="E798" s="36"/>
      <c r="F798" s="3"/>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38"/>
      <c r="B799" s="10"/>
      <c r="C799" s="35"/>
      <c r="D799" s="10"/>
      <c r="E799" s="36"/>
      <c r="F799" s="3"/>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38"/>
      <c r="B800" s="10"/>
      <c r="C800" s="35"/>
      <c r="D800" s="10"/>
      <c r="E800" s="36"/>
      <c r="F800" s="3"/>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38"/>
      <c r="B801" s="10"/>
      <c r="C801" s="35"/>
      <c r="D801" s="10"/>
      <c r="E801" s="36"/>
      <c r="F801" s="3"/>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38"/>
      <c r="B802" s="10"/>
      <c r="C802" s="35"/>
      <c r="D802" s="10"/>
      <c r="E802" s="36"/>
      <c r="F802" s="3"/>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38"/>
      <c r="B803" s="10"/>
      <c r="C803" s="35"/>
      <c r="D803" s="10"/>
      <c r="E803" s="36"/>
      <c r="F803" s="3"/>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38"/>
      <c r="B804" s="10"/>
      <c r="C804" s="35"/>
      <c r="D804" s="10"/>
      <c r="E804" s="36"/>
      <c r="F804" s="3"/>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38"/>
      <c r="B805" s="10"/>
      <c r="C805" s="35"/>
      <c r="D805" s="10"/>
      <c r="E805" s="36"/>
      <c r="F805" s="3"/>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38"/>
      <c r="B806" s="10"/>
      <c r="C806" s="35"/>
      <c r="D806" s="10"/>
      <c r="E806" s="36"/>
      <c r="F806" s="3"/>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38"/>
      <c r="B807" s="10"/>
      <c r="C807" s="35"/>
      <c r="D807" s="10"/>
      <c r="E807" s="36"/>
      <c r="F807" s="3"/>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38"/>
      <c r="B808" s="10"/>
      <c r="C808" s="35"/>
      <c r="D808" s="10"/>
      <c r="E808" s="36"/>
      <c r="F808" s="3"/>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38"/>
      <c r="B809" s="10"/>
      <c r="C809" s="35"/>
      <c r="D809" s="10"/>
      <c r="E809" s="36"/>
      <c r="F809" s="3"/>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38"/>
      <c r="B810" s="10"/>
      <c r="C810" s="35"/>
      <c r="D810" s="10"/>
      <c r="E810" s="36"/>
      <c r="F810" s="3"/>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38"/>
      <c r="B811" s="10"/>
      <c r="C811" s="35"/>
      <c r="D811" s="10"/>
      <c r="E811" s="36"/>
      <c r="F811" s="3"/>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38"/>
      <c r="B812" s="10"/>
      <c r="C812" s="35"/>
      <c r="D812" s="10"/>
      <c r="E812" s="36"/>
      <c r="F812" s="3"/>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38"/>
      <c r="B813" s="10"/>
      <c r="C813" s="35"/>
      <c r="D813" s="10"/>
      <c r="E813" s="36"/>
      <c r="F813" s="3"/>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38"/>
      <c r="B814" s="10"/>
      <c r="C814" s="35"/>
      <c r="D814" s="10"/>
      <c r="E814" s="36"/>
      <c r="F814" s="3"/>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38"/>
      <c r="B815" s="10"/>
      <c r="C815" s="35"/>
      <c r="D815" s="10"/>
      <c r="E815" s="36"/>
      <c r="F815" s="3"/>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38"/>
      <c r="B816" s="10"/>
      <c r="C816" s="35"/>
      <c r="D816" s="10"/>
      <c r="E816" s="36"/>
      <c r="F816" s="3"/>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38"/>
      <c r="B817" s="10"/>
      <c r="C817" s="35"/>
      <c r="D817" s="10"/>
      <c r="E817" s="36"/>
      <c r="F817" s="3"/>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38"/>
      <c r="B818" s="10"/>
      <c r="C818" s="35"/>
      <c r="D818" s="10"/>
      <c r="E818" s="36"/>
      <c r="F818" s="3"/>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38"/>
      <c r="B819" s="10"/>
      <c r="C819" s="35"/>
      <c r="D819" s="10"/>
      <c r="E819" s="36"/>
      <c r="F819" s="3"/>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38"/>
      <c r="B820" s="10"/>
      <c r="C820" s="35"/>
      <c r="D820" s="10"/>
      <c r="E820" s="36"/>
      <c r="F820" s="3"/>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38"/>
      <c r="B821" s="10"/>
      <c r="C821" s="35"/>
      <c r="D821" s="10"/>
      <c r="E821" s="36"/>
      <c r="F821" s="3"/>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38"/>
      <c r="B822" s="10"/>
      <c r="C822" s="35"/>
      <c r="D822" s="10"/>
      <c r="E822" s="36"/>
      <c r="F822" s="3"/>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38"/>
      <c r="B823" s="10"/>
      <c r="C823" s="35"/>
      <c r="D823" s="10"/>
      <c r="E823" s="36"/>
      <c r="F823" s="3"/>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38"/>
      <c r="B824" s="10"/>
      <c r="C824" s="35"/>
      <c r="D824" s="10"/>
      <c r="E824" s="36"/>
      <c r="F824" s="3"/>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38"/>
      <c r="B825" s="10"/>
      <c r="C825" s="35"/>
      <c r="D825" s="10"/>
      <c r="E825" s="36"/>
      <c r="F825" s="3"/>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38"/>
      <c r="B826" s="10"/>
      <c r="C826" s="35"/>
      <c r="D826" s="10"/>
      <c r="E826" s="36"/>
      <c r="F826" s="3"/>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38"/>
      <c r="B827" s="10"/>
      <c r="C827" s="35"/>
      <c r="D827" s="10"/>
      <c r="E827" s="36"/>
      <c r="F827" s="3"/>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38"/>
      <c r="B828" s="10"/>
      <c r="C828" s="35"/>
      <c r="D828" s="10"/>
      <c r="E828" s="36"/>
      <c r="F828" s="3"/>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38"/>
      <c r="B829" s="10"/>
      <c r="C829" s="35"/>
      <c r="D829" s="10"/>
      <c r="E829" s="36"/>
      <c r="F829" s="3"/>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38"/>
      <c r="B830" s="10"/>
      <c r="C830" s="35"/>
      <c r="D830" s="10"/>
      <c r="E830" s="36"/>
      <c r="F830" s="3"/>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38"/>
      <c r="B831" s="10"/>
      <c r="C831" s="35"/>
      <c r="D831" s="10"/>
      <c r="E831" s="36"/>
      <c r="F831" s="3"/>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38"/>
      <c r="B832" s="10"/>
      <c r="C832" s="35"/>
      <c r="D832" s="10"/>
      <c r="E832" s="36"/>
      <c r="F832" s="3"/>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38"/>
      <c r="B833" s="10"/>
      <c r="C833" s="35"/>
      <c r="D833" s="10"/>
      <c r="E833" s="36"/>
      <c r="F833" s="3"/>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38"/>
      <c r="B834" s="10"/>
      <c r="C834" s="35"/>
      <c r="D834" s="10"/>
      <c r="E834" s="36"/>
      <c r="F834" s="3"/>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38"/>
      <c r="B835" s="10"/>
      <c r="C835" s="35"/>
      <c r="D835" s="10"/>
      <c r="E835" s="36"/>
      <c r="F835" s="3"/>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38"/>
      <c r="B836" s="10"/>
      <c r="C836" s="35"/>
      <c r="D836" s="10"/>
      <c r="E836" s="36"/>
      <c r="F836" s="3"/>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38"/>
      <c r="B837" s="10"/>
      <c r="C837" s="35"/>
      <c r="D837" s="10"/>
      <c r="E837" s="36"/>
      <c r="F837" s="3"/>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38"/>
      <c r="B838" s="10"/>
      <c r="C838" s="35"/>
      <c r="D838" s="10"/>
      <c r="E838" s="36"/>
      <c r="F838" s="3"/>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38"/>
      <c r="B839" s="10"/>
      <c r="C839" s="35"/>
      <c r="D839" s="10"/>
      <c r="E839" s="36"/>
      <c r="F839" s="3"/>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38"/>
      <c r="B840" s="10"/>
      <c r="C840" s="35"/>
      <c r="D840" s="10"/>
      <c r="E840" s="36"/>
      <c r="F840" s="3"/>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38"/>
      <c r="B841" s="10"/>
      <c r="C841" s="35"/>
      <c r="D841" s="10"/>
      <c r="E841" s="36"/>
      <c r="F841" s="3"/>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38"/>
      <c r="B842" s="10"/>
      <c r="C842" s="35"/>
      <c r="D842" s="10"/>
      <c r="E842" s="36"/>
      <c r="F842" s="3"/>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38"/>
      <c r="B843" s="10"/>
      <c r="C843" s="35"/>
      <c r="D843" s="10"/>
      <c r="E843" s="36"/>
      <c r="F843" s="3"/>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38"/>
      <c r="B844" s="10"/>
      <c r="C844" s="35"/>
      <c r="D844" s="10"/>
      <c r="E844" s="36"/>
      <c r="F844" s="3"/>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38"/>
      <c r="B845" s="10"/>
      <c r="C845" s="35"/>
      <c r="D845" s="10"/>
      <c r="E845" s="36"/>
      <c r="F845" s="3"/>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38"/>
      <c r="B846" s="10"/>
      <c r="C846" s="35"/>
      <c r="D846" s="10"/>
      <c r="E846" s="36"/>
      <c r="F846" s="3"/>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38"/>
      <c r="B847" s="10"/>
      <c r="C847" s="35"/>
      <c r="D847" s="10"/>
      <c r="E847" s="36"/>
      <c r="F847" s="3"/>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38"/>
      <c r="B848" s="10"/>
      <c r="C848" s="35"/>
      <c r="D848" s="10"/>
      <c r="E848" s="36"/>
      <c r="F848" s="3"/>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38"/>
      <c r="B849" s="10"/>
      <c r="C849" s="35"/>
      <c r="D849" s="10"/>
      <c r="E849" s="36"/>
      <c r="F849" s="3"/>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38"/>
      <c r="B850" s="10"/>
      <c r="C850" s="35"/>
      <c r="D850" s="10"/>
      <c r="E850" s="36"/>
      <c r="F850" s="3"/>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38"/>
      <c r="B851" s="10"/>
      <c r="C851" s="35"/>
      <c r="D851" s="10"/>
      <c r="E851" s="36"/>
      <c r="F851" s="3"/>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38"/>
      <c r="B852" s="10"/>
      <c r="C852" s="35"/>
      <c r="D852" s="10"/>
      <c r="E852" s="36"/>
      <c r="F852" s="3"/>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38"/>
      <c r="B853" s="10"/>
      <c r="C853" s="35"/>
      <c r="D853" s="10"/>
      <c r="E853" s="36"/>
      <c r="F853" s="3"/>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38"/>
      <c r="B854" s="10"/>
      <c r="C854" s="35"/>
      <c r="D854" s="10"/>
      <c r="E854" s="36"/>
      <c r="F854" s="3"/>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38"/>
      <c r="B855" s="10"/>
      <c r="C855" s="35"/>
      <c r="D855" s="10"/>
      <c r="E855" s="36"/>
      <c r="F855" s="3"/>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38"/>
      <c r="B856" s="10"/>
      <c r="C856" s="35"/>
      <c r="D856" s="10"/>
      <c r="E856" s="36"/>
      <c r="F856" s="3"/>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38"/>
      <c r="B857" s="10"/>
      <c r="C857" s="35"/>
      <c r="D857" s="10"/>
      <c r="E857" s="36"/>
      <c r="F857" s="3"/>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38"/>
      <c r="B858" s="10"/>
      <c r="C858" s="35"/>
      <c r="D858" s="10"/>
      <c r="E858" s="36"/>
      <c r="F858" s="3"/>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38"/>
      <c r="B859" s="10"/>
      <c r="C859" s="35"/>
      <c r="D859" s="10"/>
      <c r="E859" s="36"/>
      <c r="F859" s="3"/>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38"/>
      <c r="B860" s="10"/>
      <c r="C860" s="35"/>
      <c r="D860" s="10"/>
      <c r="E860" s="36"/>
      <c r="F860" s="3"/>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38"/>
      <c r="B861" s="10"/>
      <c r="C861" s="35"/>
      <c r="D861" s="10"/>
      <c r="E861" s="36"/>
      <c r="F861" s="3"/>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38"/>
      <c r="B862" s="10"/>
      <c r="C862" s="35"/>
      <c r="D862" s="10"/>
      <c r="E862" s="36"/>
      <c r="F862" s="3"/>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38"/>
      <c r="B863" s="10"/>
      <c r="C863" s="35"/>
      <c r="D863" s="10"/>
      <c r="E863" s="36"/>
      <c r="F863" s="3"/>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38"/>
      <c r="B864" s="10"/>
      <c r="C864" s="35"/>
      <c r="D864" s="10"/>
      <c r="E864" s="36"/>
      <c r="F864" s="3"/>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38"/>
      <c r="B865" s="10"/>
      <c r="C865" s="35"/>
      <c r="D865" s="10"/>
      <c r="E865" s="36"/>
      <c r="F865" s="3"/>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38"/>
      <c r="B866" s="10"/>
      <c r="C866" s="35"/>
      <c r="D866" s="10"/>
      <c r="E866" s="36"/>
      <c r="F866" s="3"/>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38"/>
      <c r="B867" s="10"/>
      <c r="C867" s="35"/>
      <c r="D867" s="10"/>
      <c r="E867" s="36"/>
      <c r="F867" s="3"/>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38"/>
      <c r="B868" s="10"/>
      <c r="C868" s="35"/>
      <c r="D868" s="10"/>
      <c r="E868" s="36"/>
      <c r="F868" s="3"/>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38"/>
      <c r="B869" s="10"/>
      <c r="C869" s="35"/>
      <c r="D869" s="10"/>
      <c r="E869" s="36"/>
      <c r="F869" s="3"/>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38"/>
      <c r="B870" s="10"/>
      <c r="C870" s="35"/>
      <c r="D870" s="10"/>
      <c r="E870" s="36"/>
      <c r="F870" s="3"/>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38"/>
      <c r="B871" s="10"/>
      <c r="C871" s="35"/>
      <c r="D871" s="10"/>
      <c r="E871" s="36"/>
      <c r="F871" s="3"/>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38"/>
      <c r="B872" s="10"/>
      <c r="C872" s="35"/>
      <c r="D872" s="10"/>
      <c r="E872" s="36"/>
      <c r="F872" s="3"/>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38"/>
      <c r="B873" s="10"/>
      <c r="C873" s="35"/>
      <c r="D873" s="10"/>
      <c r="E873" s="36"/>
      <c r="F873" s="3"/>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38"/>
      <c r="B874" s="10"/>
      <c r="C874" s="35"/>
      <c r="D874" s="10"/>
      <c r="E874" s="36"/>
      <c r="F874" s="3"/>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38"/>
      <c r="B875" s="10"/>
      <c r="C875" s="35"/>
      <c r="D875" s="10"/>
      <c r="E875" s="36"/>
      <c r="F875" s="3"/>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38"/>
      <c r="B876" s="10"/>
      <c r="C876" s="35"/>
      <c r="D876" s="10"/>
      <c r="E876" s="36"/>
      <c r="F876" s="3"/>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38"/>
      <c r="B877" s="10"/>
      <c r="C877" s="35"/>
      <c r="D877" s="10"/>
      <c r="E877" s="36"/>
      <c r="F877" s="3"/>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38"/>
      <c r="B878" s="10"/>
      <c r="C878" s="35"/>
      <c r="D878" s="10"/>
      <c r="E878" s="36"/>
      <c r="F878" s="3"/>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38"/>
      <c r="B879" s="10"/>
      <c r="C879" s="35"/>
      <c r="D879" s="10"/>
      <c r="E879" s="36"/>
      <c r="F879" s="3"/>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38"/>
      <c r="B880" s="10"/>
      <c r="C880" s="35"/>
      <c r="D880" s="10"/>
      <c r="E880" s="36"/>
      <c r="F880" s="3"/>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38"/>
      <c r="B881" s="10"/>
      <c r="C881" s="35"/>
      <c r="D881" s="10"/>
      <c r="E881" s="36"/>
      <c r="F881" s="3"/>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38"/>
      <c r="B882" s="10"/>
      <c r="C882" s="35"/>
      <c r="D882" s="10"/>
      <c r="E882" s="36"/>
      <c r="F882" s="3"/>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38"/>
      <c r="B883" s="10"/>
      <c r="C883" s="35"/>
      <c r="D883" s="10"/>
      <c r="E883" s="36"/>
      <c r="F883" s="3"/>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38"/>
      <c r="B884" s="10"/>
      <c r="C884" s="35"/>
      <c r="D884" s="10"/>
      <c r="E884" s="36"/>
      <c r="F884" s="3"/>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38"/>
      <c r="B885" s="10"/>
      <c r="C885" s="35"/>
      <c r="D885" s="10"/>
      <c r="E885" s="36"/>
      <c r="F885" s="3"/>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38"/>
      <c r="B886" s="10"/>
      <c r="C886" s="35"/>
      <c r="D886" s="10"/>
      <c r="E886" s="36"/>
      <c r="F886" s="3"/>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38"/>
      <c r="B887" s="10"/>
      <c r="C887" s="35"/>
      <c r="D887" s="10"/>
      <c r="E887" s="36"/>
      <c r="F887" s="3"/>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38"/>
      <c r="B888" s="10"/>
      <c r="C888" s="35"/>
      <c r="D888" s="10"/>
      <c r="E888" s="36"/>
      <c r="F888" s="3"/>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38"/>
      <c r="B889" s="10"/>
      <c r="C889" s="35"/>
      <c r="D889" s="10"/>
      <c r="E889" s="36"/>
      <c r="F889" s="3"/>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38"/>
      <c r="B890" s="10"/>
      <c r="C890" s="35"/>
      <c r="D890" s="10"/>
      <c r="E890" s="36"/>
      <c r="F890" s="3"/>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38"/>
      <c r="B891" s="10"/>
      <c r="C891" s="35"/>
      <c r="D891" s="10"/>
      <c r="E891" s="36"/>
      <c r="F891" s="3"/>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38"/>
      <c r="B892" s="10"/>
      <c r="C892" s="35"/>
      <c r="D892" s="10"/>
      <c r="E892" s="36"/>
      <c r="F892" s="3"/>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38"/>
      <c r="B893" s="10"/>
      <c r="C893" s="35"/>
      <c r="D893" s="10"/>
      <c r="E893" s="36"/>
      <c r="F893" s="3"/>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38"/>
      <c r="B894" s="10"/>
      <c r="C894" s="35"/>
      <c r="D894" s="10"/>
      <c r="E894" s="36"/>
      <c r="F894" s="3"/>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38"/>
      <c r="B895" s="10"/>
      <c r="C895" s="35"/>
      <c r="D895" s="10"/>
      <c r="E895" s="36"/>
      <c r="F895" s="3"/>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38"/>
      <c r="B896" s="10"/>
      <c r="C896" s="35"/>
      <c r="D896" s="10"/>
      <c r="E896" s="36"/>
      <c r="F896" s="3"/>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38"/>
      <c r="B897" s="10"/>
      <c r="C897" s="35"/>
      <c r="D897" s="10"/>
      <c r="E897" s="36"/>
      <c r="F897" s="3"/>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38"/>
      <c r="B898" s="10"/>
      <c r="C898" s="35"/>
      <c r="D898" s="10"/>
      <c r="E898" s="36"/>
      <c r="F898" s="3"/>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38"/>
      <c r="B899" s="10"/>
      <c r="C899" s="35"/>
      <c r="D899" s="10"/>
      <c r="E899" s="36"/>
      <c r="F899" s="3"/>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38"/>
      <c r="B900" s="10"/>
      <c r="C900" s="35"/>
      <c r="D900" s="10"/>
      <c r="E900" s="36"/>
      <c r="F900" s="3"/>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38"/>
      <c r="B901" s="10"/>
      <c r="C901" s="35"/>
      <c r="D901" s="10"/>
      <c r="E901" s="36"/>
      <c r="F901" s="3"/>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38"/>
      <c r="B902" s="10"/>
      <c r="C902" s="35"/>
      <c r="D902" s="10"/>
      <c r="E902" s="36"/>
      <c r="F902" s="3"/>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38"/>
      <c r="B903" s="10"/>
      <c r="C903" s="35"/>
      <c r="D903" s="10"/>
      <c r="E903" s="36"/>
      <c r="F903" s="3"/>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38"/>
      <c r="B904" s="10"/>
      <c r="C904" s="35"/>
      <c r="D904" s="10"/>
      <c r="E904" s="36"/>
      <c r="F904" s="3"/>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38"/>
      <c r="B905" s="10"/>
      <c r="C905" s="35"/>
      <c r="D905" s="10"/>
      <c r="E905" s="36"/>
      <c r="F905" s="3"/>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38"/>
      <c r="B906" s="10"/>
      <c r="C906" s="35"/>
      <c r="D906" s="10"/>
      <c r="E906" s="36"/>
      <c r="F906" s="3"/>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38"/>
      <c r="B907" s="10"/>
      <c r="C907" s="35"/>
      <c r="D907" s="10"/>
      <c r="E907" s="36"/>
      <c r="F907" s="3"/>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38"/>
      <c r="B908" s="10"/>
      <c r="C908" s="35"/>
      <c r="D908" s="10"/>
      <c r="E908" s="36"/>
      <c r="F908" s="3"/>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38"/>
      <c r="B909" s="10"/>
      <c r="C909" s="35"/>
      <c r="D909" s="10"/>
      <c r="E909" s="36"/>
      <c r="F909" s="3"/>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38"/>
      <c r="B910" s="10"/>
      <c r="C910" s="35"/>
      <c r="D910" s="10"/>
      <c r="E910" s="36"/>
      <c r="F910" s="3"/>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38"/>
      <c r="B911" s="10"/>
      <c r="C911" s="35"/>
      <c r="D911" s="10"/>
      <c r="E911" s="36"/>
      <c r="F911" s="3"/>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38"/>
      <c r="B912" s="10"/>
      <c r="C912" s="35"/>
      <c r="D912" s="10"/>
      <c r="E912" s="36"/>
      <c r="F912" s="3"/>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38"/>
      <c r="B913" s="10"/>
      <c r="C913" s="35"/>
      <c r="D913" s="10"/>
      <c r="E913" s="36"/>
      <c r="F913" s="3"/>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38"/>
      <c r="B914" s="10"/>
      <c r="C914" s="35"/>
      <c r="D914" s="10"/>
      <c r="E914" s="36"/>
      <c r="F914" s="3"/>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38"/>
      <c r="B915" s="10"/>
      <c r="C915" s="35"/>
      <c r="D915" s="10"/>
      <c r="E915" s="36"/>
      <c r="F915" s="3"/>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38"/>
      <c r="B916" s="10"/>
      <c r="C916" s="35"/>
      <c r="D916" s="10"/>
      <c r="E916" s="36"/>
      <c r="F916" s="3"/>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38"/>
      <c r="B917" s="10"/>
      <c r="C917" s="35"/>
      <c r="D917" s="10"/>
      <c r="E917" s="36"/>
      <c r="F917" s="3"/>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38"/>
      <c r="B918" s="10"/>
      <c r="C918" s="35"/>
      <c r="D918" s="10"/>
      <c r="E918" s="36"/>
      <c r="F918" s="3"/>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38"/>
      <c r="B919" s="10"/>
      <c r="C919" s="35"/>
      <c r="D919" s="10"/>
      <c r="E919" s="36"/>
      <c r="F919" s="3"/>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38"/>
      <c r="B920" s="10"/>
      <c r="C920" s="35"/>
      <c r="D920" s="10"/>
      <c r="E920" s="36"/>
      <c r="F920" s="3"/>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38"/>
      <c r="B921" s="10"/>
      <c r="C921" s="35"/>
      <c r="D921" s="10"/>
      <c r="E921" s="36"/>
      <c r="F921" s="3"/>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38"/>
      <c r="B922" s="10"/>
      <c r="C922" s="35"/>
      <c r="D922" s="10"/>
      <c r="E922" s="36"/>
      <c r="F922" s="3"/>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38"/>
      <c r="B923" s="10"/>
      <c r="C923" s="35"/>
      <c r="D923" s="10"/>
      <c r="E923" s="36"/>
      <c r="F923" s="3"/>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38"/>
      <c r="B924" s="10"/>
      <c r="C924" s="35"/>
      <c r="D924" s="10"/>
      <c r="E924" s="36"/>
      <c r="F924" s="3"/>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38"/>
      <c r="B925" s="10"/>
      <c r="C925" s="35"/>
      <c r="D925" s="10"/>
      <c r="E925" s="36"/>
      <c r="F925" s="3"/>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38"/>
      <c r="B926" s="10"/>
      <c r="C926" s="35"/>
      <c r="D926" s="10"/>
      <c r="E926" s="36"/>
      <c r="F926" s="3"/>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38"/>
      <c r="B927" s="10"/>
      <c r="C927" s="35"/>
      <c r="D927" s="10"/>
      <c r="E927" s="36"/>
      <c r="F927" s="3"/>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38"/>
      <c r="B928" s="10"/>
      <c r="C928" s="35"/>
      <c r="D928" s="10"/>
      <c r="E928" s="36"/>
      <c r="F928" s="3"/>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38"/>
      <c r="B929" s="10"/>
      <c r="C929" s="35"/>
      <c r="D929" s="10"/>
      <c r="E929" s="36"/>
      <c r="F929" s="3"/>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38"/>
      <c r="B930" s="10"/>
      <c r="C930" s="35"/>
      <c r="D930" s="10"/>
      <c r="E930" s="36"/>
      <c r="F930" s="3"/>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38"/>
      <c r="B931" s="10"/>
      <c r="C931" s="35"/>
      <c r="D931" s="10"/>
      <c r="E931" s="36"/>
      <c r="F931" s="3"/>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38"/>
      <c r="B932" s="10"/>
      <c r="C932" s="35"/>
      <c r="D932" s="10"/>
      <c r="E932" s="36"/>
      <c r="F932" s="3"/>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38"/>
      <c r="B933" s="10"/>
      <c r="C933" s="35"/>
      <c r="D933" s="10"/>
      <c r="E933" s="36"/>
      <c r="F933" s="3"/>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38"/>
      <c r="B934" s="10"/>
      <c r="C934" s="35"/>
      <c r="D934" s="10"/>
      <c r="E934" s="36"/>
      <c r="F934" s="3"/>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38"/>
      <c r="B935" s="10"/>
      <c r="C935" s="35"/>
      <c r="D935" s="10"/>
      <c r="E935" s="36"/>
      <c r="F935" s="3"/>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38"/>
      <c r="B936" s="10"/>
      <c r="C936" s="35"/>
      <c r="D936" s="10"/>
      <c r="E936" s="36"/>
      <c r="F936" s="3"/>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38"/>
      <c r="B937" s="10"/>
      <c r="C937" s="35"/>
      <c r="D937" s="10"/>
      <c r="E937" s="36"/>
      <c r="F937" s="3"/>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38"/>
      <c r="B938" s="10"/>
      <c r="C938" s="35"/>
      <c r="D938" s="10"/>
      <c r="E938" s="36"/>
      <c r="F938" s="3"/>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38"/>
      <c r="B939" s="10"/>
      <c r="C939" s="35"/>
      <c r="D939" s="10"/>
      <c r="E939" s="36"/>
      <c r="F939" s="3"/>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38"/>
      <c r="B940" s="10"/>
      <c r="C940" s="35"/>
      <c r="D940" s="10"/>
      <c r="E940" s="36"/>
      <c r="F940" s="3"/>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38"/>
      <c r="B941" s="10"/>
      <c r="C941" s="35"/>
      <c r="D941" s="10"/>
      <c r="E941" s="36"/>
      <c r="F941" s="3"/>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38"/>
      <c r="B942" s="10"/>
      <c r="C942" s="35"/>
      <c r="D942" s="10"/>
      <c r="E942" s="36"/>
      <c r="F942" s="3"/>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38"/>
      <c r="B943" s="10"/>
      <c r="C943" s="35"/>
      <c r="D943" s="10"/>
      <c r="E943" s="36"/>
      <c r="F943" s="3"/>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38"/>
      <c r="B944" s="10"/>
      <c r="C944" s="35"/>
      <c r="D944" s="10"/>
      <c r="E944" s="36"/>
      <c r="F944" s="3"/>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38"/>
      <c r="B945" s="10"/>
      <c r="C945" s="35"/>
      <c r="D945" s="10"/>
      <c r="E945" s="36"/>
      <c r="F945" s="3"/>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38"/>
      <c r="B946" s="10"/>
      <c r="C946" s="35"/>
      <c r="D946" s="10"/>
      <c r="E946" s="36"/>
      <c r="F946" s="3"/>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38"/>
      <c r="B947" s="10"/>
      <c r="C947" s="35"/>
      <c r="D947" s="10"/>
      <c r="E947" s="36"/>
      <c r="F947" s="3"/>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38"/>
      <c r="B948" s="10"/>
      <c r="C948" s="35"/>
      <c r="D948" s="10"/>
      <c r="E948" s="36"/>
      <c r="F948" s="3"/>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38"/>
      <c r="B949" s="10"/>
      <c r="C949" s="35"/>
      <c r="D949" s="10"/>
      <c r="E949" s="36"/>
      <c r="F949" s="3"/>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38"/>
      <c r="B950" s="10"/>
      <c r="C950" s="35"/>
      <c r="D950" s="10"/>
      <c r="E950" s="36"/>
      <c r="F950" s="3"/>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38"/>
      <c r="B951" s="10"/>
      <c r="C951" s="35"/>
      <c r="D951" s="10"/>
      <c r="E951" s="36"/>
      <c r="F951" s="3"/>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38"/>
      <c r="B952" s="10"/>
      <c r="C952" s="35"/>
      <c r="D952" s="10"/>
      <c r="E952" s="36"/>
      <c r="F952" s="3"/>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38"/>
      <c r="B953" s="10"/>
      <c r="C953" s="35"/>
      <c r="D953" s="10"/>
      <c r="E953" s="36"/>
      <c r="F953" s="3"/>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38"/>
      <c r="B954" s="10"/>
      <c r="C954" s="35"/>
      <c r="D954" s="10"/>
      <c r="E954" s="36"/>
      <c r="F954" s="3"/>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38"/>
      <c r="B955" s="10"/>
      <c r="C955" s="35"/>
      <c r="D955" s="10"/>
      <c r="E955" s="36"/>
      <c r="F955" s="3"/>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38"/>
      <c r="B956" s="10"/>
      <c r="C956" s="35"/>
      <c r="D956" s="10"/>
      <c r="E956" s="36"/>
      <c r="F956" s="3"/>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38"/>
      <c r="B957" s="10"/>
      <c r="C957" s="35"/>
      <c r="D957" s="10"/>
      <c r="E957" s="36"/>
      <c r="F957" s="3"/>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38"/>
      <c r="B958" s="10"/>
      <c r="C958" s="35"/>
      <c r="D958" s="10"/>
      <c r="E958" s="36"/>
      <c r="F958" s="3"/>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38"/>
      <c r="B959" s="10"/>
      <c r="C959" s="35"/>
      <c r="D959" s="10"/>
      <c r="E959" s="36"/>
      <c r="F959" s="3"/>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38"/>
      <c r="B960" s="10"/>
      <c r="C960" s="35"/>
      <c r="D960" s="10"/>
      <c r="E960" s="36"/>
      <c r="F960" s="3"/>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38"/>
      <c r="B961" s="10"/>
      <c r="C961" s="35"/>
      <c r="D961" s="10"/>
      <c r="E961" s="36"/>
      <c r="F961" s="3"/>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38"/>
      <c r="B962" s="10"/>
      <c r="C962" s="35"/>
      <c r="D962" s="10"/>
      <c r="E962" s="36"/>
      <c r="F962" s="3"/>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38"/>
      <c r="B963" s="10"/>
      <c r="C963" s="35"/>
      <c r="D963" s="10"/>
      <c r="E963" s="36"/>
      <c r="F963" s="3"/>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38"/>
      <c r="B964" s="10"/>
      <c r="C964" s="35"/>
      <c r="D964" s="10"/>
      <c r="E964" s="36"/>
      <c r="F964" s="3"/>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38"/>
      <c r="B965" s="10"/>
      <c r="C965" s="35"/>
      <c r="D965" s="10"/>
      <c r="E965" s="36"/>
      <c r="F965" s="3"/>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38"/>
      <c r="B966" s="10"/>
      <c r="C966" s="35"/>
      <c r="D966" s="10"/>
      <c r="E966" s="36"/>
      <c r="F966" s="3"/>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38"/>
      <c r="B967" s="10"/>
      <c r="C967" s="35"/>
      <c r="D967" s="10"/>
      <c r="E967" s="36"/>
      <c r="F967" s="3"/>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38"/>
      <c r="B968" s="10"/>
      <c r="C968" s="35"/>
      <c r="D968" s="10"/>
      <c r="E968" s="36"/>
      <c r="F968" s="3"/>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38"/>
      <c r="B969" s="10"/>
      <c r="C969" s="35"/>
      <c r="D969" s="10"/>
      <c r="E969" s="36"/>
      <c r="F969" s="3"/>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38"/>
      <c r="B970" s="10"/>
      <c r="C970" s="35"/>
      <c r="D970" s="10"/>
      <c r="E970" s="36"/>
      <c r="F970" s="3"/>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38"/>
      <c r="B971" s="10"/>
      <c r="C971" s="35"/>
      <c r="D971" s="10"/>
      <c r="E971" s="36"/>
      <c r="F971" s="3"/>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38"/>
      <c r="B972" s="10"/>
      <c r="C972" s="35"/>
      <c r="D972" s="10"/>
      <c r="E972" s="36"/>
      <c r="F972" s="3"/>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38"/>
      <c r="B973" s="10"/>
      <c r="C973" s="35"/>
      <c r="D973" s="10"/>
      <c r="E973" s="36"/>
      <c r="F973" s="3"/>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38"/>
      <c r="B974" s="10"/>
      <c r="C974" s="35"/>
      <c r="D974" s="10"/>
      <c r="E974" s="36"/>
      <c r="F974" s="3"/>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38"/>
      <c r="B975" s="10"/>
      <c r="C975" s="35"/>
      <c r="D975" s="10"/>
      <c r="E975" s="36"/>
      <c r="F975" s="3"/>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38"/>
      <c r="B976" s="10"/>
      <c r="C976" s="35"/>
      <c r="D976" s="10"/>
      <c r="E976" s="36"/>
      <c r="F976" s="3"/>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38"/>
      <c r="B977" s="10"/>
      <c r="C977" s="35"/>
      <c r="D977" s="10"/>
      <c r="E977" s="36"/>
      <c r="F977" s="3"/>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38"/>
      <c r="B978" s="10"/>
      <c r="C978" s="35"/>
      <c r="D978" s="10"/>
      <c r="E978" s="36"/>
      <c r="F978" s="3"/>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38"/>
      <c r="B979" s="10"/>
      <c r="C979" s="35"/>
      <c r="D979" s="10"/>
      <c r="E979" s="36"/>
      <c r="F979" s="3"/>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38"/>
      <c r="B980" s="10"/>
      <c r="C980" s="35"/>
      <c r="D980" s="10"/>
      <c r="E980" s="36"/>
      <c r="F980" s="3"/>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38"/>
      <c r="B981" s="10"/>
      <c r="C981" s="35"/>
      <c r="D981" s="10"/>
      <c r="E981" s="36"/>
      <c r="F981" s="3"/>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38"/>
      <c r="B982" s="10"/>
      <c r="C982" s="35"/>
      <c r="D982" s="10"/>
      <c r="E982" s="36"/>
      <c r="F982" s="3"/>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38"/>
      <c r="B983" s="10"/>
      <c r="C983" s="35"/>
      <c r="D983" s="10"/>
      <c r="E983" s="36"/>
      <c r="F983" s="3"/>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38"/>
      <c r="B984" s="10"/>
      <c r="C984" s="35"/>
      <c r="D984" s="10"/>
      <c r="E984" s="36"/>
      <c r="F984" s="3"/>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38"/>
      <c r="B985" s="10"/>
      <c r="C985" s="35"/>
      <c r="D985" s="10"/>
      <c r="E985" s="36"/>
      <c r="F985" s="3"/>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38"/>
      <c r="B986" s="10"/>
      <c r="C986" s="35"/>
      <c r="D986" s="10"/>
      <c r="E986" s="36"/>
      <c r="F986" s="3"/>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38"/>
      <c r="B987" s="10"/>
      <c r="C987" s="35"/>
      <c r="D987" s="10"/>
      <c r="E987" s="36"/>
      <c r="F987" s="3"/>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38"/>
      <c r="B988" s="10"/>
      <c r="C988" s="35"/>
      <c r="D988" s="10"/>
      <c r="E988" s="36"/>
      <c r="F988" s="3"/>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38"/>
      <c r="B989" s="10"/>
      <c r="C989" s="35"/>
      <c r="D989" s="10"/>
      <c r="E989" s="36"/>
      <c r="F989" s="3"/>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38"/>
      <c r="B990" s="10"/>
      <c r="C990" s="35"/>
      <c r="D990" s="10"/>
      <c r="E990" s="36"/>
      <c r="F990" s="3"/>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38"/>
      <c r="B991" s="10"/>
      <c r="C991" s="35"/>
      <c r="D991" s="10"/>
      <c r="E991" s="36"/>
      <c r="F991" s="3"/>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38"/>
      <c r="B992" s="10"/>
      <c r="C992" s="35"/>
      <c r="D992" s="10"/>
      <c r="E992" s="36"/>
      <c r="F992" s="3"/>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38"/>
      <c r="B993" s="10"/>
      <c r="C993" s="35"/>
      <c r="D993" s="10"/>
      <c r="E993" s="36"/>
      <c r="F993" s="3"/>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38"/>
      <c r="B994" s="10"/>
      <c r="C994" s="35"/>
      <c r="D994" s="10"/>
      <c r="E994" s="36"/>
      <c r="F994" s="3"/>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38"/>
      <c r="B995" s="10"/>
      <c r="C995" s="35"/>
      <c r="D995" s="10"/>
      <c r="E995" s="36"/>
      <c r="F995" s="3"/>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38"/>
      <c r="B996" s="10"/>
      <c r="C996" s="35"/>
      <c r="D996" s="10"/>
      <c r="E996" s="36"/>
      <c r="F996" s="3"/>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38"/>
      <c r="B997" s="10"/>
      <c r="C997" s="35"/>
      <c r="D997" s="10"/>
      <c r="E997" s="36"/>
      <c r="F997" s="3"/>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38"/>
      <c r="B998" s="10"/>
      <c r="C998" s="35"/>
      <c r="D998" s="10"/>
      <c r="E998" s="36"/>
      <c r="F998" s="3"/>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38"/>
      <c r="B999" s="10"/>
      <c r="C999" s="35"/>
      <c r="D999" s="10"/>
      <c r="E999" s="36"/>
      <c r="F999" s="3"/>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38"/>
      <c r="B1000" s="10"/>
      <c r="C1000" s="35"/>
      <c r="D1000" s="10"/>
      <c r="E1000" s="36"/>
      <c r="F1000" s="3"/>
      <c r="G1000" s="10"/>
      <c r="H1000" s="10"/>
      <c r="I1000" s="10"/>
      <c r="J1000" s="10"/>
      <c r="K1000" s="10"/>
      <c r="L1000" s="10"/>
      <c r="M1000" s="10"/>
      <c r="N1000" s="10"/>
      <c r="O1000" s="10"/>
      <c r="P1000" s="10"/>
      <c r="Q1000" s="10"/>
      <c r="R1000" s="10"/>
      <c r="S1000" s="10"/>
      <c r="T1000" s="10"/>
      <c r="U1000" s="10"/>
      <c r="V1000" s="10"/>
      <c r="W1000" s="10"/>
      <c r="X1000" s="10"/>
      <c r="Y1000" s="10"/>
      <c r="Z1000" s="10"/>
    </row>
    <row r="1001" ht="15.75" customHeight="1">
      <c r="A1001" s="38"/>
      <c r="B1001" s="10"/>
      <c r="C1001" s="35"/>
      <c r="D1001" s="10"/>
      <c r="E1001" s="36"/>
      <c r="F1001" s="3"/>
      <c r="G1001" s="10"/>
      <c r="H1001" s="10"/>
      <c r="I1001" s="10"/>
      <c r="J1001" s="10"/>
      <c r="K1001" s="10"/>
      <c r="L1001" s="10"/>
      <c r="M1001" s="10"/>
      <c r="N1001" s="10"/>
      <c r="O1001" s="10"/>
      <c r="P1001" s="10"/>
      <c r="Q1001" s="10"/>
      <c r="R1001" s="10"/>
      <c r="S1001" s="10"/>
      <c r="T1001" s="10"/>
      <c r="U1001" s="10"/>
      <c r="V1001" s="10"/>
      <c r="W1001" s="10"/>
      <c r="X1001" s="10"/>
      <c r="Y1001" s="10"/>
      <c r="Z1001" s="10"/>
    </row>
    <row r="1002" ht="15.75" customHeight="1">
      <c r="A1002" s="38"/>
      <c r="B1002" s="10"/>
      <c r="C1002" s="35"/>
      <c r="D1002" s="10"/>
      <c r="E1002" s="36"/>
      <c r="F1002" s="3"/>
      <c r="G1002" s="10"/>
      <c r="H1002" s="10"/>
      <c r="I1002" s="10"/>
      <c r="J1002" s="10"/>
      <c r="K1002" s="10"/>
      <c r="L1002" s="10"/>
      <c r="M1002" s="10"/>
      <c r="N1002" s="10"/>
      <c r="O1002" s="10"/>
      <c r="P1002" s="10"/>
      <c r="Q1002" s="10"/>
      <c r="R1002" s="10"/>
      <c r="S1002" s="10"/>
      <c r="T1002" s="10"/>
      <c r="U1002" s="10"/>
      <c r="V1002" s="10"/>
      <c r="W1002" s="10"/>
      <c r="X1002" s="10"/>
      <c r="Y1002" s="10"/>
      <c r="Z1002" s="10"/>
    </row>
    <row r="1003" ht="15.75" customHeight="1">
      <c r="A1003" s="38"/>
      <c r="B1003" s="10"/>
      <c r="C1003" s="35"/>
      <c r="D1003" s="10"/>
      <c r="E1003" s="36"/>
      <c r="F1003" s="3"/>
      <c r="G1003" s="10"/>
      <c r="H1003" s="10"/>
      <c r="I1003" s="10"/>
      <c r="J1003" s="10"/>
      <c r="K1003" s="10"/>
      <c r="L1003" s="10"/>
      <c r="M1003" s="10"/>
      <c r="N1003" s="10"/>
      <c r="O1003" s="10"/>
      <c r="P1003" s="10"/>
      <c r="Q1003" s="10"/>
      <c r="R1003" s="10"/>
      <c r="S1003" s="10"/>
      <c r="T1003" s="10"/>
      <c r="U1003" s="10"/>
      <c r="V1003" s="10"/>
      <c r="W1003" s="10"/>
      <c r="X1003" s="10"/>
      <c r="Y1003" s="10"/>
      <c r="Z1003" s="10"/>
    </row>
    <row r="1004" ht="15.75" customHeight="1">
      <c r="A1004" s="38"/>
      <c r="B1004" s="10"/>
      <c r="C1004" s="35"/>
      <c r="D1004" s="10"/>
      <c r="E1004" s="36"/>
      <c r="F1004" s="3"/>
      <c r="G1004" s="10"/>
      <c r="H1004" s="10"/>
      <c r="I1004" s="10"/>
      <c r="J1004" s="10"/>
      <c r="K1004" s="10"/>
      <c r="L1004" s="10"/>
      <c r="M1004" s="10"/>
      <c r="N1004" s="10"/>
      <c r="O1004" s="10"/>
      <c r="P1004" s="10"/>
      <c r="Q1004" s="10"/>
      <c r="R1004" s="10"/>
      <c r="S1004" s="10"/>
      <c r="T1004" s="10"/>
      <c r="U1004" s="10"/>
      <c r="V1004" s="10"/>
      <c r="W1004" s="10"/>
      <c r="X1004" s="10"/>
      <c r="Y1004" s="10"/>
      <c r="Z1004" s="10"/>
    </row>
    <row r="1005" ht="15.75" customHeight="1">
      <c r="A1005" s="38"/>
      <c r="B1005" s="10"/>
      <c r="C1005" s="35"/>
      <c r="D1005" s="10"/>
      <c r="E1005" s="36"/>
      <c r="F1005" s="3"/>
      <c r="G1005" s="10"/>
      <c r="H1005" s="10"/>
      <c r="I1005" s="10"/>
      <c r="J1005" s="10"/>
      <c r="K1005" s="10"/>
      <c r="L1005" s="10"/>
      <c r="M1005" s="10"/>
      <c r="N1005" s="10"/>
      <c r="O1005" s="10"/>
      <c r="P1005" s="10"/>
      <c r="Q1005" s="10"/>
      <c r="R1005" s="10"/>
      <c r="S1005" s="10"/>
      <c r="T1005" s="10"/>
      <c r="U1005" s="10"/>
      <c r="V1005" s="10"/>
      <c r="W1005" s="10"/>
      <c r="X1005" s="10"/>
      <c r="Y1005" s="10"/>
      <c r="Z1005" s="10"/>
    </row>
    <row r="1006" ht="15.75" customHeight="1">
      <c r="A1006" s="38"/>
      <c r="B1006" s="10"/>
      <c r="C1006" s="35"/>
      <c r="D1006" s="10"/>
      <c r="E1006" s="36"/>
      <c r="F1006" s="3"/>
      <c r="G1006" s="10"/>
      <c r="H1006" s="10"/>
      <c r="I1006" s="10"/>
      <c r="J1006" s="10"/>
      <c r="K1006" s="10"/>
      <c r="L1006" s="10"/>
      <c r="M1006" s="10"/>
      <c r="N1006" s="10"/>
      <c r="O1006" s="10"/>
      <c r="P1006" s="10"/>
      <c r="Q1006" s="10"/>
      <c r="R1006" s="10"/>
      <c r="S1006" s="10"/>
      <c r="T1006" s="10"/>
      <c r="U1006" s="10"/>
      <c r="V1006" s="10"/>
      <c r="W1006" s="10"/>
      <c r="X1006" s="10"/>
      <c r="Y1006" s="10"/>
      <c r="Z1006" s="10"/>
    </row>
    <row r="1007" ht="15.75" customHeight="1">
      <c r="A1007" s="38"/>
      <c r="B1007" s="10"/>
      <c r="C1007" s="35"/>
      <c r="D1007" s="10"/>
      <c r="E1007" s="36"/>
      <c r="F1007" s="3"/>
      <c r="G1007" s="10"/>
      <c r="H1007" s="10"/>
      <c r="I1007" s="10"/>
      <c r="J1007" s="10"/>
      <c r="K1007" s="10"/>
      <c r="L1007" s="10"/>
      <c r="M1007" s="10"/>
      <c r="N1007" s="10"/>
      <c r="O1007" s="10"/>
      <c r="P1007" s="10"/>
      <c r="Q1007" s="10"/>
      <c r="R1007" s="10"/>
      <c r="S1007" s="10"/>
      <c r="T1007" s="10"/>
      <c r="U1007" s="10"/>
      <c r="V1007" s="10"/>
      <c r="W1007" s="10"/>
      <c r="X1007" s="10"/>
      <c r="Y1007" s="10"/>
      <c r="Z1007" s="10"/>
    </row>
    <row r="1008" ht="15.75" customHeight="1">
      <c r="A1008" s="38"/>
      <c r="B1008" s="10"/>
      <c r="C1008" s="35"/>
      <c r="D1008" s="10"/>
      <c r="E1008" s="36"/>
      <c r="F1008" s="3"/>
      <c r="G1008" s="10"/>
      <c r="H1008" s="10"/>
      <c r="I1008" s="10"/>
      <c r="J1008" s="10"/>
      <c r="K1008" s="10"/>
      <c r="L1008" s="10"/>
      <c r="M1008" s="10"/>
      <c r="N1008" s="10"/>
      <c r="O1008" s="10"/>
      <c r="P1008" s="10"/>
      <c r="Q1008" s="10"/>
      <c r="R1008" s="10"/>
      <c r="S1008" s="10"/>
      <c r="T1008" s="10"/>
      <c r="U1008" s="10"/>
      <c r="V1008" s="10"/>
      <c r="W1008" s="10"/>
      <c r="X1008" s="10"/>
      <c r="Y1008" s="10"/>
      <c r="Z1008" s="10"/>
    </row>
    <row r="1009" ht="15.75" customHeight="1">
      <c r="A1009" s="38"/>
      <c r="B1009" s="10"/>
      <c r="C1009" s="35"/>
      <c r="D1009" s="10"/>
      <c r="E1009" s="36"/>
      <c r="F1009" s="3"/>
      <c r="G1009" s="10"/>
      <c r="H1009" s="10"/>
      <c r="I1009" s="10"/>
      <c r="J1009" s="10"/>
      <c r="K1009" s="10"/>
      <c r="L1009" s="10"/>
      <c r="M1009" s="10"/>
      <c r="N1009" s="10"/>
      <c r="O1009" s="10"/>
      <c r="P1009" s="10"/>
      <c r="Q1009" s="10"/>
      <c r="R1009" s="10"/>
      <c r="S1009" s="10"/>
      <c r="T1009" s="10"/>
      <c r="U1009" s="10"/>
      <c r="V1009" s="10"/>
      <c r="W1009" s="10"/>
      <c r="X1009" s="10"/>
      <c r="Y1009" s="10"/>
      <c r="Z1009" s="10"/>
    </row>
    <row r="1010" ht="15.75" customHeight="1">
      <c r="A1010" s="38"/>
      <c r="B1010" s="10"/>
      <c r="C1010" s="35"/>
      <c r="D1010" s="10"/>
      <c r="E1010" s="36"/>
      <c r="F1010" s="3"/>
      <c r="G1010" s="10"/>
      <c r="H1010" s="10"/>
      <c r="I1010" s="10"/>
      <c r="J1010" s="10"/>
      <c r="K1010" s="10"/>
      <c r="L1010" s="10"/>
      <c r="M1010" s="10"/>
      <c r="N1010" s="10"/>
      <c r="O1010" s="10"/>
      <c r="P1010" s="10"/>
      <c r="Q1010" s="10"/>
      <c r="R1010" s="10"/>
      <c r="S1010" s="10"/>
      <c r="T1010" s="10"/>
      <c r="U1010" s="10"/>
      <c r="V1010" s="10"/>
      <c r="W1010" s="10"/>
      <c r="X1010" s="10"/>
      <c r="Y1010" s="10"/>
      <c r="Z1010" s="10"/>
    </row>
    <row r="1011" ht="15.75" customHeight="1">
      <c r="A1011" s="38"/>
      <c r="B1011" s="10"/>
      <c r="C1011" s="35"/>
      <c r="D1011" s="10"/>
      <c r="E1011" s="36"/>
      <c r="F1011" s="3"/>
      <c r="G1011" s="10"/>
      <c r="H1011" s="10"/>
      <c r="I1011" s="10"/>
      <c r="J1011" s="10"/>
      <c r="K1011" s="10"/>
      <c r="L1011" s="10"/>
      <c r="M1011" s="10"/>
      <c r="N1011" s="10"/>
      <c r="O1011" s="10"/>
      <c r="P1011" s="10"/>
      <c r="Q1011" s="10"/>
      <c r="R1011" s="10"/>
      <c r="S1011" s="10"/>
      <c r="T1011" s="10"/>
      <c r="U1011" s="10"/>
      <c r="V1011" s="10"/>
      <c r="W1011" s="10"/>
      <c r="X1011" s="10"/>
      <c r="Y1011" s="10"/>
      <c r="Z1011" s="10"/>
    </row>
    <row r="1012" ht="15.75" customHeight="1">
      <c r="A1012" s="38"/>
      <c r="B1012" s="10"/>
      <c r="C1012" s="35"/>
      <c r="D1012" s="10"/>
      <c r="E1012" s="36"/>
      <c r="F1012" s="3"/>
      <c r="G1012" s="10"/>
      <c r="H1012" s="10"/>
      <c r="I1012" s="10"/>
      <c r="J1012" s="10"/>
      <c r="K1012" s="10"/>
      <c r="L1012" s="10"/>
      <c r="M1012" s="10"/>
      <c r="N1012" s="10"/>
      <c r="O1012" s="10"/>
      <c r="P1012" s="10"/>
      <c r="Q1012" s="10"/>
      <c r="R1012" s="10"/>
      <c r="S1012" s="10"/>
      <c r="T1012" s="10"/>
      <c r="U1012" s="10"/>
      <c r="V1012" s="10"/>
      <c r="W1012" s="10"/>
      <c r="X1012" s="10"/>
      <c r="Y1012" s="10"/>
      <c r="Z1012" s="10"/>
    </row>
    <row r="1013" ht="15.75" customHeight="1">
      <c r="A1013" s="38"/>
      <c r="B1013" s="10"/>
      <c r="C1013" s="35"/>
      <c r="D1013" s="10"/>
      <c r="E1013" s="36"/>
      <c r="F1013" s="3"/>
      <c r="G1013" s="10"/>
      <c r="H1013" s="10"/>
      <c r="I1013" s="10"/>
      <c r="J1013" s="10"/>
      <c r="K1013" s="10"/>
      <c r="L1013" s="10"/>
      <c r="M1013" s="10"/>
      <c r="N1013" s="10"/>
      <c r="O1013" s="10"/>
      <c r="P1013" s="10"/>
      <c r="Q1013" s="10"/>
      <c r="R1013" s="10"/>
      <c r="S1013" s="10"/>
      <c r="T1013" s="10"/>
      <c r="U1013" s="10"/>
      <c r="V1013" s="10"/>
      <c r="W1013" s="10"/>
      <c r="X1013" s="10"/>
      <c r="Y1013" s="10"/>
      <c r="Z1013" s="10"/>
    </row>
    <row r="1014" ht="15.75" customHeight="1">
      <c r="A1014" s="38"/>
      <c r="B1014" s="10"/>
      <c r="C1014" s="35"/>
      <c r="D1014" s="10"/>
      <c r="E1014" s="36"/>
      <c r="F1014" s="3"/>
      <c r="G1014" s="10"/>
      <c r="H1014" s="10"/>
      <c r="I1014" s="10"/>
      <c r="J1014" s="10"/>
      <c r="K1014" s="10"/>
      <c r="L1014" s="10"/>
      <c r="M1014" s="10"/>
      <c r="N1014" s="10"/>
      <c r="O1014" s="10"/>
      <c r="P1014" s="10"/>
      <c r="Q1014" s="10"/>
      <c r="R1014" s="10"/>
      <c r="S1014" s="10"/>
      <c r="T1014" s="10"/>
      <c r="U1014" s="10"/>
      <c r="V1014" s="10"/>
      <c r="W1014" s="10"/>
      <c r="X1014" s="10"/>
      <c r="Y1014" s="10"/>
      <c r="Z1014" s="10"/>
    </row>
    <row r="1015" ht="15.75" customHeight="1">
      <c r="A1015" s="38"/>
      <c r="B1015" s="10"/>
      <c r="C1015" s="35"/>
      <c r="D1015" s="10"/>
      <c r="E1015" s="36"/>
      <c r="F1015" s="3"/>
      <c r="G1015" s="10"/>
      <c r="H1015" s="10"/>
      <c r="I1015" s="10"/>
      <c r="J1015" s="10"/>
      <c r="K1015" s="10"/>
      <c r="L1015" s="10"/>
      <c r="M1015" s="10"/>
      <c r="N1015" s="10"/>
      <c r="O1015" s="10"/>
      <c r="P1015" s="10"/>
      <c r="Q1015" s="10"/>
      <c r="R1015" s="10"/>
      <c r="S1015" s="10"/>
      <c r="T1015" s="10"/>
      <c r="U1015" s="10"/>
      <c r="V1015" s="10"/>
      <c r="W1015" s="10"/>
      <c r="X1015" s="10"/>
      <c r="Y1015" s="10"/>
      <c r="Z1015" s="10"/>
    </row>
    <row r="1016" ht="15.75" customHeight="1">
      <c r="A1016" s="38"/>
      <c r="B1016" s="10"/>
      <c r="C1016" s="35"/>
      <c r="D1016" s="10"/>
      <c r="E1016" s="36"/>
      <c r="F1016" s="3"/>
      <c r="G1016" s="10"/>
      <c r="H1016" s="10"/>
      <c r="I1016" s="10"/>
      <c r="J1016" s="10"/>
      <c r="K1016" s="10"/>
      <c r="L1016" s="10"/>
      <c r="M1016" s="10"/>
      <c r="N1016" s="10"/>
      <c r="O1016" s="10"/>
      <c r="P1016" s="10"/>
      <c r="Q1016" s="10"/>
      <c r="R1016" s="10"/>
      <c r="S1016" s="10"/>
      <c r="T1016" s="10"/>
      <c r="U1016" s="10"/>
      <c r="V1016" s="10"/>
      <c r="W1016" s="10"/>
      <c r="X1016" s="10"/>
      <c r="Y1016" s="10"/>
      <c r="Z1016" s="10"/>
    </row>
    <row r="1017" ht="15.75" customHeight="1">
      <c r="A1017" s="38"/>
      <c r="B1017" s="10"/>
      <c r="C1017" s="35"/>
      <c r="D1017" s="10"/>
      <c r="E1017" s="36"/>
      <c r="F1017" s="3"/>
      <c r="G1017" s="10"/>
      <c r="H1017" s="10"/>
      <c r="I1017" s="10"/>
      <c r="J1017" s="10"/>
      <c r="K1017" s="10"/>
      <c r="L1017" s="10"/>
      <c r="M1017" s="10"/>
      <c r="N1017" s="10"/>
      <c r="O1017" s="10"/>
      <c r="P1017" s="10"/>
      <c r="Q1017" s="10"/>
      <c r="R1017" s="10"/>
      <c r="S1017" s="10"/>
      <c r="T1017" s="10"/>
      <c r="U1017" s="10"/>
      <c r="V1017" s="10"/>
      <c r="W1017" s="10"/>
      <c r="X1017" s="10"/>
      <c r="Y1017" s="10"/>
      <c r="Z1017" s="10"/>
    </row>
    <row r="1018" ht="15.75" customHeight="1">
      <c r="A1018" s="38"/>
      <c r="B1018" s="10"/>
      <c r="C1018" s="35"/>
      <c r="D1018" s="10"/>
      <c r="E1018" s="36"/>
      <c r="F1018" s="3"/>
      <c r="G1018" s="10"/>
      <c r="H1018" s="10"/>
      <c r="I1018" s="10"/>
      <c r="J1018" s="10"/>
      <c r="K1018" s="10"/>
      <c r="L1018" s="10"/>
      <c r="M1018" s="10"/>
      <c r="N1018" s="10"/>
      <c r="O1018" s="10"/>
      <c r="P1018" s="10"/>
      <c r="Q1018" s="10"/>
      <c r="R1018" s="10"/>
      <c r="S1018" s="10"/>
      <c r="T1018" s="10"/>
      <c r="U1018" s="10"/>
      <c r="V1018" s="10"/>
      <c r="W1018" s="10"/>
      <c r="X1018" s="10"/>
      <c r="Y1018" s="10"/>
      <c r="Z1018" s="10"/>
    </row>
    <row r="1019" ht="15.75" customHeight="1">
      <c r="A1019" s="38"/>
      <c r="B1019" s="10"/>
      <c r="C1019" s="35"/>
      <c r="D1019" s="10"/>
      <c r="E1019" s="36"/>
      <c r="F1019" s="3"/>
      <c r="G1019" s="10"/>
      <c r="H1019" s="10"/>
      <c r="I1019" s="10"/>
      <c r="J1019" s="10"/>
      <c r="K1019" s="10"/>
      <c r="L1019" s="10"/>
      <c r="M1019" s="10"/>
      <c r="N1019" s="10"/>
      <c r="O1019" s="10"/>
      <c r="P1019" s="10"/>
      <c r="Q1019" s="10"/>
      <c r="R1019" s="10"/>
      <c r="S1019" s="10"/>
      <c r="T1019" s="10"/>
      <c r="U1019" s="10"/>
      <c r="V1019" s="10"/>
      <c r="W1019" s="10"/>
      <c r="X1019" s="10"/>
      <c r="Y1019" s="10"/>
      <c r="Z1019" s="10"/>
    </row>
    <row r="1020" ht="15.75" customHeight="1">
      <c r="A1020" s="38"/>
      <c r="B1020" s="10"/>
      <c r="C1020" s="35"/>
      <c r="D1020" s="10"/>
      <c r="E1020" s="36"/>
      <c r="F1020" s="3"/>
      <c r="G1020" s="10"/>
      <c r="H1020" s="10"/>
      <c r="I1020" s="10"/>
      <c r="J1020" s="10"/>
      <c r="K1020" s="10"/>
      <c r="L1020" s="10"/>
      <c r="M1020" s="10"/>
      <c r="N1020" s="10"/>
      <c r="O1020" s="10"/>
      <c r="P1020" s="10"/>
      <c r="Q1020" s="10"/>
      <c r="R1020" s="10"/>
      <c r="S1020" s="10"/>
      <c r="T1020" s="10"/>
      <c r="U1020" s="10"/>
      <c r="V1020" s="10"/>
      <c r="W1020" s="10"/>
      <c r="X1020" s="10"/>
      <c r="Y1020" s="10"/>
      <c r="Z1020" s="10"/>
    </row>
    <row r="1021" ht="15.75" customHeight="1">
      <c r="A1021" s="38"/>
      <c r="B1021" s="10"/>
      <c r="C1021" s="35"/>
      <c r="D1021" s="10"/>
      <c r="E1021" s="36"/>
      <c r="F1021" s="3"/>
      <c r="G1021" s="10"/>
      <c r="H1021" s="10"/>
      <c r="I1021" s="10"/>
      <c r="J1021" s="10"/>
      <c r="K1021" s="10"/>
      <c r="L1021" s="10"/>
      <c r="M1021" s="10"/>
      <c r="N1021" s="10"/>
      <c r="O1021" s="10"/>
      <c r="P1021" s="10"/>
      <c r="Q1021" s="10"/>
      <c r="R1021" s="10"/>
      <c r="S1021" s="10"/>
      <c r="T1021" s="10"/>
      <c r="U1021" s="10"/>
      <c r="V1021" s="10"/>
      <c r="W1021" s="10"/>
      <c r="X1021" s="10"/>
      <c r="Y1021" s="10"/>
      <c r="Z1021" s="10"/>
    </row>
    <row r="1022" ht="15.75" customHeight="1">
      <c r="A1022" s="38"/>
      <c r="B1022" s="10"/>
      <c r="C1022" s="35"/>
      <c r="D1022" s="10"/>
      <c r="E1022" s="36"/>
      <c r="F1022" s="3"/>
      <c r="G1022" s="10"/>
      <c r="H1022" s="10"/>
      <c r="I1022" s="10"/>
      <c r="J1022" s="10"/>
      <c r="K1022" s="10"/>
      <c r="L1022" s="10"/>
      <c r="M1022" s="10"/>
      <c r="N1022" s="10"/>
      <c r="O1022" s="10"/>
      <c r="P1022" s="10"/>
      <c r="Q1022" s="10"/>
      <c r="R1022" s="10"/>
      <c r="S1022" s="10"/>
      <c r="T1022" s="10"/>
      <c r="U1022" s="10"/>
      <c r="V1022" s="10"/>
      <c r="W1022" s="10"/>
      <c r="X1022" s="10"/>
      <c r="Y1022" s="10"/>
      <c r="Z1022" s="10"/>
    </row>
    <row r="1023" ht="15.75" customHeight="1">
      <c r="A1023" s="38"/>
      <c r="B1023" s="10"/>
      <c r="C1023" s="35"/>
      <c r="D1023" s="10"/>
      <c r="E1023" s="36"/>
      <c r="F1023" s="3"/>
      <c r="G1023" s="10"/>
      <c r="H1023" s="10"/>
      <c r="I1023" s="10"/>
      <c r="J1023" s="10"/>
      <c r="K1023" s="10"/>
      <c r="L1023" s="10"/>
      <c r="M1023" s="10"/>
      <c r="N1023" s="10"/>
      <c r="O1023" s="10"/>
      <c r="P1023" s="10"/>
      <c r="Q1023" s="10"/>
      <c r="R1023" s="10"/>
      <c r="S1023" s="10"/>
      <c r="T1023" s="10"/>
      <c r="U1023" s="10"/>
      <c r="V1023" s="10"/>
      <c r="W1023" s="10"/>
      <c r="X1023" s="10"/>
      <c r="Y1023" s="10"/>
      <c r="Z1023" s="10"/>
    </row>
    <row r="1024" ht="15.75" customHeight="1">
      <c r="A1024" s="38"/>
      <c r="B1024" s="10"/>
      <c r="C1024" s="35"/>
      <c r="D1024" s="10"/>
      <c r="E1024" s="36"/>
      <c r="F1024" s="3"/>
      <c r="G1024" s="10"/>
      <c r="H1024" s="10"/>
      <c r="I1024" s="10"/>
      <c r="J1024" s="10"/>
      <c r="K1024" s="10"/>
      <c r="L1024" s="10"/>
      <c r="M1024" s="10"/>
      <c r="N1024" s="10"/>
      <c r="O1024" s="10"/>
      <c r="P1024" s="10"/>
      <c r="Q1024" s="10"/>
      <c r="R1024" s="10"/>
      <c r="S1024" s="10"/>
      <c r="T1024" s="10"/>
      <c r="U1024" s="10"/>
      <c r="V1024" s="10"/>
      <c r="W1024" s="10"/>
      <c r="X1024" s="10"/>
      <c r="Y1024" s="10"/>
      <c r="Z1024" s="10"/>
    </row>
    <row r="1025" ht="15.75" customHeight="1">
      <c r="A1025" s="38"/>
      <c r="B1025" s="10"/>
      <c r="C1025" s="35"/>
      <c r="D1025" s="10"/>
      <c r="E1025" s="36"/>
      <c r="F1025" s="3"/>
      <c r="G1025" s="10"/>
      <c r="H1025" s="10"/>
      <c r="I1025" s="10"/>
      <c r="J1025" s="10"/>
      <c r="K1025" s="10"/>
      <c r="L1025" s="10"/>
      <c r="M1025" s="10"/>
      <c r="N1025" s="10"/>
      <c r="O1025" s="10"/>
      <c r="P1025" s="10"/>
      <c r="Q1025" s="10"/>
      <c r="R1025" s="10"/>
      <c r="S1025" s="10"/>
      <c r="T1025" s="10"/>
      <c r="U1025" s="10"/>
      <c r="V1025" s="10"/>
      <c r="W1025" s="10"/>
      <c r="X1025" s="10"/>
      <c r="Y1025" s="10"/>
      <c r="Z1025" s="10"/>
    </row>
    <row r="1026" ht="15.75" customHeight="1">
      <c r="A1026" s="38"/>
      <c r="B1026" s="10"/>
      <c r="C1026" s="35"/>
      <c r="D1026" s="10"/>
      <c r="E1026" s="36"/>
      <c r="F1026" s="3"/>
      <c r="G1026" s="10"/>
      <c r="H1026" s="10"/>
      <c r="I1026" s="10"/>
      <c r="J1026" s="10"/>
      <c r="K1026" s="10"/>
      <c r="L1026" s="10"/>
      <c r="M1026" s="10"/>
      <c r="N1026" s="10"/>
      <c r="O1026" s="10"/>
      <c r="P1026" s="10"/>
      <c r="Q1026" s="10"/>
      <c r="R1026" s="10"/>
      <c r="S1026" s="10"/>
      <c r="T1026" s="10"/>
      <c r="U1026" s="10"/>
      <c r="V1026" s="10"/>
      <c r="W1026" s="10"/>
      <c r="X1026" s="10"/>
      <c r="Y1026" s="10"/>
      <c r="Z1026" s="10"/>
    </row>
    <row r="1027" ht="15.75" customHeight="1">
      <c r="A1027" s="38"/>
      <c r="B1027" s="10"/>
      <c r="C1027" s="35"/>
      <c r="D1027" s="10"/>
      <c r="E1027" s="36"/>
      <c r="F1027" s="3"/>
      <c r="G1027" s="10"/>
      <c r="H1027" s="10"/>
      <c r="I1027" s="10"/>
      <c r="J1027" s="10"/>
      <c r="K1027" s="10"/>
      <c r="L1027" s="10"/>
      <c r="M1027" s="10"/>
      <c r="N1027" s="10"/>
      <c r="O1027" s="10"/>
      <c r="P1027" s="10"/>
      <c r="Q1027" s="10"/>
      <c r="R1027" s="10"/>
      <c r="S1027" s="10"/>
      <c r="T1027" s="10"/>
      <c r="U1027" s="10"/>
      <c r="V1027" s="10"/>
      <c r="W1027" s="10"/>
      <c r="X1027" s="10"/>
      <c r="Y1027" s="10"/>
      <c r="Z1027" s="10"/>
    </row>
    <row r="1028" ht="15.75" customHeight="1">
      <c r="A1028" s="38"/>
      <c r="B1028" s="10"/>
      <c r="C1028" s="35"/>
      <c r="D1028" s="10"/>
      <c r="E1028" s="36"/>
      <c r="F1028" s="3"/>
      <c r="G1028" s="10"/>
      <c r="H1028" s="10"/>
      <c r="I1028" s="10"/>
      <c r="J1028" s="10"/>
      <c r="K1028" s="10"/>
      <c r="L1028" s="10"/>
      <c r="M1028" s="10"/>
      <c r="N1028" s="10"/>
      <c r="O1028" s="10"/>
      <c r="P1028" s="10"/>
      <c r="Q1028" s="10"/>
      <c r="R1028" s="10"/>
      <c r="S1028" s="10"/>
      <c r="T1028" s="10"/>
      <c r="U1028" s="10"/>
      <c r="V1028" s="10"/>
      <c r="W1028" s="10"/>
      <c r="X1028" s="10"/>
      <c r="Y1028" s="10"/>
      <c r="Z1028" s="10"/>
    </row>
    <row r="1029" ht="15.75" customHeight="1">
      <c r="A1029" s="38"/>
      <c r="B1029" s="10"/>
      <c r="C1029" s="35"/>
      <c r="D1029" s="10"/>
      <c r="E1029" s="36"/>
      <c r="F1029" s="3"/>
      <c r="G1029" s="10"/>
      <c r="H1029" s="10"/>
      <c r="I1029" s="10"/>
      <c r="J1029" s="10"/>
      <c r="K1029" s="10"/>
      <c r="L1029" s="10"/>
      <c r="M1029" s="10"/>
      <c r="N1029" s="10"/>
      <c r="O1029" s="10"/>
      <c r="P1029" s="10"/>
      <c r="Q1029" s="10"/>
      <c r="R1029" s="10"/>
      <c r="S1029" s="10"/>
      <c r="T1029" s="10"/>
      <c r="U1029" s="10"/>
      <c r="V1029" s="10"/>
      <c r="W1029" s="10"/>
      <c r="X1029" s="10"/>
      <c r="Y1029" s="10"/>
      <c r="Z1029" s="10"/>
    </row>
    <row r="1030" ht="15.75" customHeight="1">
      <c r="A1030" s="38"/>
      <c r="B1030" s="10"/>
      <c r="C1030" s="35"/>
      <c r="D1030" s="10"/>
      <c r="E1030" s="36"/>
      <c r="F1030" s="3"/>
      <c r="G1030" s="10"/>
      <c r="H1030" s="10"/>
      <c r="I1030" s="10"/>
      <c r="J1030" s="10"/>
      <c r="K1030" s="10"/>
      <c r="L1030" s="10"/>
      <c r="M1030" s="10"/>
      <c r="N1030" s="10"/>
      <c r="O1030" s="10"/>
      <c r="P1030" s="10"/>
      <c r="Q1030" s="10"/>
      <c r="R1030" s="10"/>
      <c r="S1030" s="10"/>
      <c r="T1030" s="10"/>
      <c r="U1030" s="10"/>
      <c r="V1030" s="10"/>
      <c r="W1030" s="10"/>
      <c r="X1030" s="10"/>
      <c r="Y1030" s="10"/>
      <c r="Z1030" s="10"/>
    </row>
    <row r="1031" ht="15.75" customHeight="1">
      <c r="A1031" s="38"/>
      <c r="B1031" s="10"/>
      <c r="C1031" s="35"/>
      <c r="D1031" s="10"/>
      <c r="E1031" s="36"/>
      <c r="F1031" s="3"/>
      <c r="G1031" s="10"/>
      <c r="H1031" s="10"/>
      <c r="I1031" s="10"/>
      <c r="J1031" s="10"/>
      <c r="K1031" s="10"/>
      <c r="L1031" s="10"/>
      <c r="M1031" s="10"/>
      <c r="N1031" s="10"/>
      <c r="O1031" s="10"/>
      <c r="P1031" s="10"/>
      <c r="Q1031" s="10"/>
      <c r="R1031" s="10"/>
      <c r="S1031" s="10"/>
      <c r="T1031" s="10"/>
      <c r="U1031" s="10"/>
      <c r="V1031" s="10"/>
      <c r="W1031" s="10"/>
      <c r="X1031" s="10"/>
      <c r="Y1031" s="10"/>
      <c r="Z1031" s="10"/>
    </row>
    <row r="1032" ht="15.75" customHeight="1">
      <c r="A1032" s="38"/>
      <c r="B1032" s="10"/>
      <c r="C1032" s="35"/>
      <c r="D1032" s="10"/>
      <c r="E1032" s="36"/>
      <c r="F1032" s="3"/>
      <c r="G1032" s="10"/>
      <c r="H1032" s="10"/>
      <c r="I1032" s="10"/>
      <c r="J1032" s="10"/>
      <c r="K1032" s="10"/>
      <c r="L1032" s="10"/>
      <c r="M1032" s="10"/>
      <c r="N1032" s="10"/>
      <c r="O1032" s="10"/>
      <c r="P1032" s="10"/>
      <c r="Q1032" s="10"/>
      <c r="R1032" s="10"/>
      <c r="S1032" s="10"/>
      <c r="T1032" s="10"/>
      <c r="U1032" s="10"/>
      <c r="V1032" s="10"/>
      <c r="W1032" s="10"/>
      <c r="X1032" s="10"/>
      <c r="Y1032" s="10"/>
      <c r="Z1032" s="10"/>
    </row>
    <row r="1033" ht="15.75" customHeight="1">
      <c r="A1033" s="38"/>
      <c r="B1033" s="10"/>
      <c r="C1033" s="35"/>
      <c r="D1033" s="10"/>
      <c r="E1033" s="36"/>
      <c r="F1033" s="3"/>
      <c r="G1033" s="10"/>
      <c r="H1033" s="10"/>
      <c r="I1033" s="10"/>
      <c r="J1033" s="10"/>
      <c r="K1033" s="10"/>
      <c r="L1033" s="10"/>
      <c r="M1033" s="10"/>
      <c r="N1033" s="10"/>
      <c r="O1033" s="10"/>
      <c r="P1033" s="10"/>
      <c r="Q1033" s="10"/>
      <c r="R1033" s="10"/>
      <c r="S1033" s="10"/>
      <c r="T1033" s="10"/>
      <c r="U1033" s="10"/>
      <c r="V1033" s="10"/>
      <c r="W1033" s="10"/>
      <c r="X1033" s="10"/>
      <c r="Y1033" s="10"/>
      <c r="Z1033" s="10"/>
    </row>
    <row r="1034" ht="15.75" customHeight="1">
      <c r="A1034" s="38"/>
      <c r="B1034" s="10"/>
      <c r="C1034" s="35"/>
      <c r="D1034" s="10"/>
      <c r="E1034" s="36"/>
      <c r="F1034" s="3"/>
      <c r="G1034" s="10"/>
      <c r="H1034" s="10"/>
      <c r="I1034" s="10"/>
      <c r="J1034" s="10"/>
      <c r="K1034" s="10"/>
      <c r="L1034" s="10"/>
      <c r="M1034" s="10"/>
      <c r="N1034" s="10"/>
      <c r="O1034" s="10"/>
      <c r="P1034" s="10"/>
      <c r="Q1034" s="10"/>
      <c r="R1034" s="10"/>
      <c r="S1034" s="10"/>
      <c r="T1034" s="10"/>
      <c r="U1034" s="10"/>
      <c r="V1034" s="10"/>
      <c r="W1034" s="10"/>
      <c r="X1034" s="10"/>
      <c r="Y1034" s="10"/>
      <c r="Z1034" s="10"/>
    </row>
    <row r="1035" ht="15.75" customHeight="1">
      <c r="A1035" s="38"/>
      <c r="B1035" s="10"/>
      <c r="C1035" s="35"/>
      <c r="D1035" s="10"/>
      <c r="E1035" s="36"/>
      <c r="F1035" s="3"/>
      <c r="G1035" s="10"/>
      <c r="H1035" s="10"/>
      <c r="I1035" s="10"/>
      <c r="J1035" s="10"/>
      <c r="K1035" s="10"/>
      <c r="L1035" s="10"/>
      <c r="M1035" s="10"/>
      <c r="N1035" s="10"/>
      <c r="O1035" s="10"/>
      <c r="P1035" s="10"/>
      <c r="Q1035" s="10"/>
      <c r="R1035" s="10"/>
      <c r="S1035" s="10"/>
      <c r="T1035" s="10"/>
      <c r="U1035" s="10"/>
      <c r="V1035" s="10"/>
      <c r="W1035" s="10"/>
      <c r="X1035" s="10"/>
      <c r="Y1035" s="10"/>
      <c r="Z1035" s="10"/>
    </row>
    <row r="1036" ht="15.75" customHeight="1">
      <c r="A1036" s="38"/>
      <c r="B1036" s="10"/>
      <c r="C1036" s="35"/>
      <c r="D1036" s="10"/>
      <c r="E1036" s="36"/>
      <c r="F1036" s="3"/>
      <c r="G1036" s="10"/>
      <c r="H1036" s="10"/>
      <c r="I1036" s="10"/>
      <c r="J1036" s="10"/>
      <c r="K1036" s="10"/>
      <c r="L1036" s="10"/>
      <c r="M1036" s="10"/>
      <c r="N1036" s="10"/>
      <c r="O1036" s="10"/>
      <c r="P1036" s="10"/>
      <c r="Q1036" s="10"/>
      <c r="R1036" s="10"/>
      <c r="S1036" s="10"/>
      <c r="T1036" s="10"/>
      <c r="U1036" s="10"/>
      <c r="V1036" s="10"/>
      <c r="W1036" s="10"/>
      <c r="X1036" s="10"/>
      <c r="Y1036" s="10"/>
      <c r="Z1036" s="10"/>
    </row>
    <row r="1037" ht="15.75" customHeight="1">
      <c r="A1037" s="38"/>
      <c r="B1037" s="10"/>
      <c r="C1037" s="35"/>
      <c r="D1037" s="10"/>
      <c r="E1037" s="36"/>
      <c r="F1037" s="3"/>
      <c r="G1037" s="10"/>
      <c r="H1037" s="10"/>
      <c r="I1037" s="10"/>
      <c r="J1037" s="10"/>
      <c r="K1037" s="10"/>
      <c r="L1037" s="10"/>
      <c r="M1037" s="10"/>
      <c r="N1037" s="10"/>
      <c r="O1037" s="10"/>
      <c r="P1037" s="10"/>
      <c r="Q1037" s="10"/>
      <c r="R1037" s="10"/>
      <c r="S1037" s="10"/>
      <c r="T1037" s="10"/>
      <c r="U1037" s="10"/>
      <c r="V1037" s="10"/>
      <c r="W1037" s="10"/>
      <c r="X1037" s="10"/>
      <c r="Y1037" s="10"/>
      <c r="Z1037" s="10"/>
    </row>
    <row r="1038" ht="15.75" customHeight="1">
      <c r="A1038" s="38"/>
      <c r="B1038" s="10"/>
      <c r="C1038" s="35"/>
      <c r="D1038" s="10"/>
      <c r="E1038" s="36"/>
      <c r="F1038" s="3"/>
      <c r="G1038" s="10"/>
      <c r="H1038" s="10"/>
      <c r="I1038" s="10"/>
      <c r="J1038" s="10"/>
      <c r="K1038" s="10"/>
      <c r="L1038" s="10"/>
      <c r="M1038" s="10"/>
      <c r="N1038" s="10"/>
      <c r="O1038" s="10"/>
      <c r="P1038" s="10"/>
      <c r="Q1038" s="10"/>
      <c r="R1038" s="10"/>
      <c r="S1038" s="10"/>
      <c r="T1038" s="10"/>
      <c r="U1038" s="10"/>
      <c r="V1038" s="10"/>
      <c r="W1038" s="10"/>
      <c r="X1038" s="10"/>
      <c r="Y1038" s="10"/>
      <c r="Z1038" s="10"/>
    </row>
    <row r="1039" ht="15.75" customHeight="1">
      <c r="A1039" s="38"/>
      <c r="B1039" s="10"/>
      <c r="C1039" s="35"/>
      <c r="D1039" s="10"/>
      <c r="E1039" s="36"/>
      <c r="F1039" s="3"/>
      <c r="G1039" s="10"/>
      <c r="H1039" s="10"/>
      <c r="I1039" s="10"/>
      <c r="J1039" s="10"/>
      <c r="K1039" s="10"/>
      <c r="L1039" s="10"/>
      <c r="M1039" s="10"/>
      <c r="N1039" s="10"/>
      <c r="O1039" s="10"/>
      <c r="P1039" s="10"/>
      <c r="Q1039" s="10"/>
      <c r="R1039" s="10"/>
      <c r="S1039" s="10"/>
      <c r="T1039" s="10"/>
      <c r="U1039" s="10"/>
      <c r="V1039" s="10"/>
      <c r="W1039" s="10"/>
      <c r="X1039" s="10"/>
      <c r="Y1039" s="10"/>
      <c r="Z1039" s="10"/>
    </row>
    <row r="1040" ht="15.75" customHeight="1">
      <c r="A1040" s="38"/>
      <c r="B1040" s="10"/>
      <c r="C1040" s="35"/>
      <c r="D1040" s="10"/>
      <c r="E1040" s="36"/>
      <c r="F1040" s="3"/>
      <c r="G1040" s="10"/>
      <c r="H1040" s="10"/>
      <c r="I1040" s="10"/>
      <c r="J1040" s="10"/>
      <c r="K1040" s="10"/>
      <c r="L1040" s="10"/>
      <c r="M1040" s="10"/>
      <c r="N1040" s="10"/>
      <c r="O1040" s="10"/>
      <c r="P1040" s="10"/>
      <c r="Q1040" s="10"/>
      <c r="R1040" s="10"/>
      <c r="S1040" s="10"/>
      <c r="T1040" s="10"/>
      <c r="U1040" s="10"/>
      <c r="V1040" s="10"/>
      <c r="W1040" s="10"/>
      <c r="X1040" s="10"/>
      <c r="Y1040" s="10"/>
      <c r="Z1040" s="10"/>
    </row>
    <row r="1041" ht="15.75" customHeight="1">
      <c r="A1041" s="38"/>
      <c r="B1041" s="10"/>
      <c r="C1041" s="35"/>
      <c r="D1041" s="10"/>
      <c r="E1041" s="36"/>
      <c r="F1041" s="3"/>
      <c r="G1041" s="10"/>
      <c r="H1041" s="10"/>
      <c r="I1041" s="10"/>
      <c r="J1041" s="10"/>
      <c r="K1041" s="10"/>
      <c r="L1041" s="10"/>
      <c r="M1041" s="10"/>
      <c r="N1041" s="10"/>
      <c r="O1041" s="10"/>
      <c r="P1041" s="10"/>
      <c r="Q1041" s="10"/>
      <c r="R1041" s="10"/>
      <c r="S1041" s="10"/>
      <c r="T1041" s="10"/>
      <c r="U1041" s="10"/>
      <c r="V1041" s="10"/>
      <c r="W1041" s="10"/>
      <c r="X1041" s="10"/>
      <c r="Y1041" s="10"/>
      <c r="Z1041" s="10"/>
    </row>
    <row r="1042" ht="15.75" customHeight="1">
      <c r="A1042" s="38"/>
      <c r="B1042" s="10"/>
      <c r="C1042" s="35"/>
      <c r="D1042" s="10"/>
      <c r="E1042" s="36"/>
      <c r="F1042" s="3"/>
      <c r="G1042" s="10"/>
      <c r="H1042" s="10"/>
      <c r="I1042" s="10"/>
      <c r="J1042" s="10"/>
      <c r="K1042" s="10"/>
      <c r="L1042" s="10"/>
      <c r="M1042" s="10"/>
      <c r="N1042" s="10"/>
      <c r="O1042" s="10"/>
      <c r="P1042" s="10"/>
      <c r="Q1042" s="10"/>
      <c r="R1042" s="10"/>
      <c r="S1042" s="10"/>
      <c r="T1042" s="10"/>
      <c r="U1042" s="10"/>
      <c r="V1042" s="10"/>
      <c r="W1042" s="10"/>
      <c r="X1042" s="10"/>
      <c r="Y1042" s="10"/>
      <c r="Z1042" s="10"/>
    </row>
    <row r="1043" ht="15.75" customHeight="1">
      <c r="A1043" s="38"/>
      <c r="B1043" s="10"/>
      <c r="C1043" s="35"/>
      <c r="D1043" s="10"/>
      <c r="E1043" s="36"/>
      <c r="F1043" s="3"/>
      <c r="G1043" s="10"/>
      <c r="H1043" s="10"/>
      <c r="I1043" s="10"/>
      <c r="J1043" s="10"/>
      <c r="K1043" s="10"/>
      <c r="L1043" s="10"/>
      <c r="M1043" s="10"/>
      <c r="N1043" s="10"/>
      <c r="O1043" s="10"/>
      <c r="P1043" s="10"/>
      <c r="Q1043" s="10"/>
      <c r="R1043" s="10"/>
      <c r="S1043" s="10"/>
      <c r="T1043" s="10"/>
      <c r="U1043" s="10"/>
      <c r="V1043" s="10"/>
      <c r="W1043" s="10"/>
      <c r="X1043" s="10"/>
      <c r="Y1043" s="10"/>
      <c r="Z1043" s="10"/>
    </row>
    <row r="1044" ht="15.75" customHeight="1">
      <c r="A1044" s="38"/>
      <c r="B1044" s="10"/>
      <c r="C1044" s="35"/>
      <c r="D1044" s="10"/>
      <c r="E1044" s="36"/>
      <c r="F1044" s="3"/>
      <c r="G1044" s="10"/>
      <c r="H1044" s="10"/>
      <c r="I1044" s="10"/>
      <c r="J1044" s="10"/>
      <c r="K1044" s="10"/>
      <c r="L1044" s="10"/>
      <c r="M1044" s="10"/>
      <c r="N1044" s="10"/>
      <c r="O1044" s="10"/>
      <c r="P1044" s="10"/>
      <c r="Q1044" s="10"/>
      <c r="R1044" s="10"/>
      <c r="S1044" s="10"/>
      <c r="T1044" s="10"/>
      <c r="U1044" s="10"/>
      <c r="V1044" s="10"/>
      <c r="W1044" s="10"/>
      <c r="X1044" s="10"/>
      <c r="Y1044" s="10"/>
      <c r="Z1044" s="10"/>
    </row>
    <row r="1045" ht="15.75" customHeight="1">
      <c r="A1045" s="38"/>
      <c r="B1045" s="10"/>
      <c r="C1045" s="35"/>
      <c r="D1045" s="10"/>
      <c r="E1045" s="36"/>
      <c r="F1045" s="3"/>
      <c r="G1045" s="10"/>
      <c r="H1045" s="10"/>
      <c r="I1045" s="10"/>
      <c r="J1045" s="10"/>
      <c r="K1045" s="10"/>
      <c r="L1045" s="10"/>
      <c r="M1045" s="10"/>
      <c r="N1045" s="10"/>
      <c r="O1045" s="10"/>
      <c r="P1045" s="10"/>
      <c r="Q1045" s="10"/>
      <c r="R1045" s="10"/>
      <c r="S1045" s="10"/>
      <c r="T1045" s="10"/>
      <c r="U1045" s="10"/>
      <c r="V1045" s="10"/>
      <c r="W1045" s="10"/>
      <c r="X1045" s="10"/>
      <c r="Y1045" s="10"/>
      <c r="Z1045" s="10"/>
    </row>
    <row r="1046" ht="15.75" customHeight="1">
      <c r="A1046" s="38"/>
      <c r="B1046" s="10"/>
      <c r="C1046" s="35"/>
      <c r="D1046" s="10"/>
      <c r="E1046" s="36"/>
      <c r="F1046" s="3"/>
      <c r="G1046" s="10"/>
      <c r="H1046" s="10"/>
      <c r="I1046" s="10"/>
      <c r="J1046" s="10"/>
      <c r="K1046" s="10"/>
      <c r="L1046" s="10"/>
      <c r="M1046" s="10"/>
      <c r="N1046" s="10"/>
      <c r="O1046" s="10"/>
      <c r="P1046" s="10"/>
      <c r="Q1046" s="10"/>
      <c r="R1046" s="10"/>
      <c r="S1046" s="10"/>
      <c r="T1046" s="10"/>
      <c r="U1046" s="10"/>
      <c r="V1046" s="10"/>
      <c r="W1046" s="10"/>
      <c r="X1046" s="10"/>
      <c r="Y1046" s="10"/>
      <c r="Z1046" s="10"/>
    </row>
    <row r="1047" ht="15.75" customHeight="1">
      <c r="A1047" s="38"/>
      <c r="B1047" s="10"/>
      <c r="C1047" s="35"/>
      <c r="D1047" s="10"/>
      <c r="E1047" s="36"/>
      <c r="F1047" s="3"/>
      <c r="G1047" s="10"/>
      <c r="H1047" s="10"/>
      <c r="I1047" s="10"/>
      <c r="J1047" s="10"/>
      <c r="K1047" s="10"/>
      <c r="L1047" s="10"/>
      <c r="M1047" s="10"/>
      <c r="N1047" s="10"/>
      <c r="O1047" s="10"/>
      <c r="P1047" s="10"/>
      <c r="Q1047" s="10"/>
      <c r="R1047" s="10"/>
      <c r="S1047" s="10"/>
      <c r="T1047" s="10"/>
      <c r="U1047" s="10"/>
      <c r="V1047" s="10"/>
      <c r="W1047" s="10"/>
      <c r="X1047" s="10"/>
      <c r="Y1047" s="10"/>
      <c r="Z1047" s="10"/>
    </row>
    <row r="1048" ht="15.75" customHeight="1">
      <c r="A1048" s="38"/>
      <c r="B1048" s="10"/>
      <c r="C1048" s="35"/>
      <c r="D1048" s="10"/>
      <c r="E1048" s="36"/>
      <c r="F1048" s="3"/>
      <c r="G1048" s="10"/>
      <c r="H1048" s="10"/>
      <c r="I1048" s="10"/>
      <c r="J1048" s="10"/>
      <c r="K1048" s="10"/>
      <c r="L1048" s="10"/>
      <c r="M1048" s="10"/>
      <c r="N1048" s="10"/>
      <c r="O1048" s="10"/>
      <c r="P1048" s="10"/>
      <c r="Q1048" s="10"/>
      <c r="R1048" s="10"/>
      <c r="S1048" s="10"/>
      <c r="T1048" s="10"/>
      <c r="U1048" s="10"/>
      <c r="V1048" s="10"/>
      <c r="W1048" s="10"/>
      <c r="X1048" s="10"/>
      <c r="Y1048" s="10"/>
      <c r="Z1048" s="10"/>
    </row>
    <row r="1049" ht="15.75" customHeight="1">
      <c r="A1049" s="38"/>
      <c r="B1049" s="10"/>
      <c r="C1049" s="35"/>
      <c r="D1049" s="10"/>
      <c r="E1049" s="36"/>
      <c r="F1049" s="3"/>
      <c r="G1049" s="10"/>
      <c r="H1049" s="10"/>
      <c r="I1049" s="10"/>
      <c r="J1049" s="10"/>
      <c r="K1049" s="10"/>
      <c r="L1049" s="10"/>
      <c r="M1049" s="10"/>
      <c r="N1049" s="10"/>
      <c r="O1049" s="10"/>
      <c r="P1049" s="10"/>
      <c r="Q1049" s="10"/>
      <c r="R1049" s="10"/>
      <c r="S1049" s="10"/>
      <c r="T1049" s="10"/>
      <c r="U1049" s="10"/>
      <c r="V1049" s="10"/>
      <c r="W1049" s="10"/>
      <c r="X1049" s="10"/>
      <c r="Y1049" s="10"/>
      <c r="Z1049" s="10"/>
    </row>
    <row r="1050" ht="15.75" customHeight="1">
      <c r="A1050" s="38"/>
      <c r="B1050" s="10"/>
      <c r="C1050" s="35"/>
      <c r="D1050" s="10"/>
      <c r="E1050" s="36"/>
      <c r="F1050" s="3"/>
      <c r="G1050" s="10"/>
      <c r="H1050" s="10"/>
      <c r="I1050" s="10"/>
      <c r="J1050" s="10"/>
      <c r="K1050" s="10"/>
      <c r="L1050" s="10"/>
      <c r="M1050" s="10"/>
      <c r="N1050" s="10"/>
      <c r="O1050" s="10"/>
      <c r="P1050" s="10"/>
      <c r="Q1050" s="10"/>
      <c r="R1050" s="10"/>
      <c r="S1050" s="10"/>
      <c r="T1050" s="10"/>
      <c r="U1050" s="10"/>
      <c r="V1050" s="10"/>
      <c r="W1050" s="10"/>
      <c r="X1050" s="10"/>
      <c r="Y1050" s="10"/>
      <c r="Z1050" s="10"/>
    </row>
    <row r="1051" ht="15.75" customHeight="1">
      <c r="A1051" s="38"/>
      <c r="B1051" s="10"/>
      <c r="C1051" s="35"/>
      <c r="D1051" s="10"/>
      <c r="E1051" s="36"/>
      <c r="F1051" s="3"/>
      <c r="G1051" s="10"/>
      <c r="H1051" s="10"/>
      <c r="I1051" s="10"/>
      <c r="J1051" s="10"/>
      <c r="K1051" s="10"/>
      <c r="L1051" s="10"/>
      <c r="M1051" s="10"/>
      <c r="N1051" s="10"/>
      <c r="O1051" s="10"/>
      <c r="P1051" s="10"/>
      <c r="Q1051" s="10"/>
      <c r="R1051" s="10"/>
      <c r="S1051" s="10"/>
      <c r="T1051" s="10"/>
      <c r="U1051" s="10"/>
      <c r="V1051" s="10"/>
      <c r="W1051" s="10"/>
      <c r="X1051" s="10"/>
      <c r="Y1051" s="10"/>
      <c r="Z1051" s="10"/>
    </row>
    <row r="1052" ht="15.75" customHeight="1">
      <c r="A1052" s="38"/>
      <c r="B1052" s="10"/>
      <c r="C1052" s="35"/>
      <c r="D1052" s="10"/>
      <c r="E1052" s="36"/>
      <c r="F1052" s="3"/>
      <c r="G1052" s="10"/>
      <c r="H1052" s="10"/>
      <c r="I1052" s="10"/>
      <c r="J1052" s="10"/>
      <c r="K1052" s="10"/>
      <c r="L1052" s="10"/>
      <c r="M1052" s="10"/>
      <c r="N1052" s="10"/>
      <c r="O1052" s="10"/>
      <c r="P1052" s="10"/>
      <c r="Q1052" s="10"/>
      <c r="R1052" s="10"/>
      <c r="S1052" s="10"/>
      <c r="T1052" s="10"/>
      <c r="U1052" s="10"/>
      <c r="V1052" s="10"/>
      <c r="W1052" s="10"/>
      <c r="X1052" s="10"/>
      <c r="Y1052" s="10"/>
      <c r="Z1052" s="10"/>
    </row>
    <row r="1053" ht="15.75" customHeight="1">
      <c r="A1053" s="38"/>
      <c r="B1053" s="10"/>
      <c r="C1053" s="35"/>
      <c r="D1053" s="10"/>
      <c r="E1053" s="36"/>
      <c r="F1053" s="3"/>
      <c r="G1053" s="10"/>
      <c r="H1053" s="10"/>
      <c r="I1053" s="10"/>
      <c r="J1053" s="10"/>
      <c r="K1053" s="10"/>
      <c r="L1053" s="10"/>
      <c r="M1053" s="10"/>
      <c r="N1053" s="10"/>
      <c r="O1053" s="10"/>
      <c r="P1053" s="10"/>
      <c r="Q1053" s="10"/>
      <c r="R1053" s="10"/>
      <c r="S1053" s="10"/>
      <c r="T1053" s="10"/>
      <c r="U1053" s="10"/>
      <c r="V1053" s="10"/>
      <c r="W1053" s="10"/>
      <c r="X1053" s="10"/>
      <c r="Y1053" s="10"/>
      <c r="Z1053" s="10"/>
    </row>
    <row r="1054" ht="15.75" customHeight="1">
      <c r="A1054" s="38"/>
      <c r="B1054" s="10"/>
      <c r="C1054" s="35"/>
      <c r="D1054" s="10"/>
      <c r="E1054" s="36"/>
      <c r="F1054" s="3"/>
      <c r="G1054" s="10"/>
      <c r="H1054" s="10"/>
      <c r="I1054" s="10"/>
      <c r="J1054" s="10"/>
      <c r="K1054" s="10"/>
      <c r="L1054" s="10"/>
      <c r="M1054" s="10"/>
      <c r="N1054" s="10"/>
      <c r="O1054" s="10"/>
      <c r="P1054" s="10"/>
      <c r="Q1054" s="10"/>
      <c r="R1054" s="10"/>
      <c r="S1054" s="10"/>
      <c r="T1054" s="10"/>
      <c r="U1054" s="10"/>
      <c r="V1054" s="10"/>
      <c r="W1054" s="10"/>
      <c r="X1054" s="10"/>
      <c r="Y1054" s="10"/>
      <c r="Z1054" s="10"/>
    </row>
    <row r="1055" ht="15.75" customHeight="1">
      <c r="A1055" s="38"/>
      <c r="B1055" s="10"/>
      <c r="C1055" s="35"/>
      <c r="D1055" s="10"/>
      <c r="E1055" s="36"/>
      <c r="F1055" s="3"/>
      <c r="G1055" s="10"/>
      <c r="H1055" s="10"/>
      <c r="I1055" s="10"/>
      <c r="J1055" s="10"/>
      <c r="K1055" s="10"/>
      <c r="L1055" s="10"/>
      <c r="M1055" s="10"/>
      <c r="N1055" s="10"/>
      <c r="O1055" s="10"/>
      <c r="P1055" s="10"/>
      <c r="Q1055" s="10"/>
      <c r="R1055" s="10"/>
      <c r="S1055" s="10"/>
      <c r="T1055" s="10"/>
      <c r="U1055" s="10"/>
      <c r="V1055" s="10"/>
      <c r="W1055" s="10"/>
      <c r="X1055" s="10"/>
      <c r="Y1055" s="10"/>
      <c r="Z1055" s="10"/>
    </row>
    <row r="1056" ht="15.75" customHeight="1">
      <c r="A1056" s="38"/>
      <c r="B1056" s="10"/>
      <c r="C1056" s="35"/>
      <c r="D1056" s="10"/>
      <c r="E1056" s="36"/>
      <c r="F1056" s="3"/>
      <c r="G1056" s="10"/>
      <c r="H1056" s="10"/>
      <c r="I1056" s="10"/>
      <c r="J1056" s="10"/>
      <c r="K1056" s="10"/>
      <c r="L1056" s="10"/>
      <c r="M1056" s="10"/>
      <c r="N1056" s="10"/>
      <c r="O1056" s="10"/>
      <c r="P1056" s="10"/>
      <c r="Q1056" s="10"/>
      <c r="R1056" s="10"/>
      <c r="S1056" s="10"/>
      <c r="T1056" s="10"/>
      <c r="U1056" s="10"/>
      <c r="V1056" s="10"/>
      <c r="W1056" s="10"/>
      <c r="X1056" s="10"/>
      <c r="Y1056" s="10"/>
      <c r="Z1056" s="10"/>
    </row>
    <row r="1057" ht="15.75" customHeight="1">
      <c r="A1057" s="38"/>
      <c r="B1057" s="10"/>
      <c r="C1057" s="35"/>
      <c r="D1057" s="10"/>
      <c r="E1057" s="36"/>
      <c r="F1057" s="3"/>
      <c r="G1057" s="10"/>
      <c r="H1057" s="10"/>
      <c r="I1057" s="10"/>
      <c r="J1057" s="10"/>
      <c r="K1057" s="10"/>
      <c r="L1057" s="10"/>
      <c r="M1057" s="10"/>
      <c r="N1057" s="10"/>
      <c r="O1057" s="10"/>
      <c r="P1057" s="10"/>
      <c r="Q1057" s="10"/>
      <c r="R1057" s="10"/>
      <c r="S1057" s="10"/>
      <c r="T1057" s="10"/>
      <c r="U1057" s="10"/>
      <c r="V1057" s="10"/>
      <c r="W1057" s="10"/>
      <c r="X1057" s="10"/>
      <c r="Y1057" s="10"/>
      <c r="Z1057" s="10"/>
    </row>
    <row r="1058" ht="15.75" customHeight="1">
      <c r="A1058" s="38"/>
      <c r="B1058" s="10"/>
      <c r="C1058" s="35"/>
      <c r="D1058" s="10"/>
      <c r="E1058" s="36"/>
      <c r="F1058" s="3"/>
      <c r="G1058" s="10"/>
      <c r="H1058" s="10"/>
      <c r="I1058" s="10"/>
      <c r="J1058" s="10"/>
      <c r="K1058" s="10"/>
      <c r="L1058" s="10"/>
      <c r="M1058" s="10"/>
      <c r="N1058" s="10"/>
      <c r="O1058" s="10"/>
      <c r="P1058" s="10"/>
      <c r="Q1058" s="10"/>
      <c r="R1058" s="10"/>
      <c r="S1058" s="10"/>
      <c r="T1058" s="10"/>
      <c r="U1058" s="10"/>
      <c r="V1058" s="10"/>
      <c r="W1058" s="10"/>
      <c r="X1058" s="10"/>
      <c r="Y1058" s="10"/>
      <c r="Z1058" s="10"/>
    </row>
    <row r="1059" ht="15.75" customHeight="1">
      <c r="A1059" s="38"/>
      <c r="B1059" s="10"/>
      <c r="C1059" s="35"/>
      <c r="D1059" s="10"/>
      <c r="E1059" s="36"/>
      <c r="F1059" s="3"/>
      <c r="G1059" s="10"/>
      <c r="H1059" s="10"/>
      <c r="I1059" s="10"/>
      <c r="J1059" s="10"/>
      <c r="K1059" s="10"/>
      <c r="L1059" s="10"/>
      <c r="M1059" s="10"/>
      <c r="N1059" s="10"/>
      <c r="O1059" s="10"/>
      <c r="P1059" s="10"/>
      <c r="Q1059" s="10"/>
      <c r="R1059" s="10"/>
      <c r="S1059" s="10"/>
      <c r="T1059" s="10"/>
      <c r="U1059" s="10"/>
      <c r="V1059" s="10"/>
      <c r="W1059" s="10"/>
      <c r="X1059" s="10"/>
      <c r="Y1059" s="10"/>
      <c r="Z1059" s="10"/>
    </row>
    <row r="1060" ht="15.75" customHeight="1">
      <c r="A1060" s="38"/>
      <c r="B1060" s="10"/>
      <c r="C1060" s="35"/>
      <c r="D1060" s="10"/>
      <c r="E1060" s="36"/>
      <c r="F1060" s="3"/>
      <c r="G1060" s="10"/>
      <c r="H1060" s="10"/>
      <c r="I1060" s="10"/>
      <c r="J1060" s="10"/>
      <c r="K1060" s="10"/>
      <c r="L1060" s="10"/>
      <c r="M1060" s="10"/>
      <c r="N1060" s="10"/>
      <c r="O1060" s="10"/>
      <c r="P1060" s="10"/>
      <c r="Q1060" s="10"/>
      <c r="R1060" s="10"/>
      <c r="S1060" s="10"/>
      <c r="T1060" s="10"/>
      <c r="U1060" s="10"/>
      <c r="V1060" s="10"/>
      <c r="W1060" s="10"/>
      <c r="X1060" s="10"/>
      <c r="Y1060" s="10"/>
      <c r="Z1060" s="10"/>
    </row>
    <row r="1061" ht="15.75" customHeight="1">
      <c r="A1061" s="38"/>
      <c r="B1061" s="10"/>
      <c r="C1061" s="35"/>
      <c r="D1061" s="10"/>
      <c r="E1061" s="36"/>
      <c r="F1061" s="3"/>
      <c r="G1061" s="10"/>
      <c r="H1061" s="10"/>
      <c r="I1061" s="10"/>
      <c r="J1061" s="10"/>
      <c r="K1061" s="10"/>
      <c r="L1061" s="10"/>
      <c r="M1061" s="10"/>
      <c r="N1061" s="10"/>
      <c r="O1061" s="10"/>
      <c r="P1061" s="10"/>
      <c r="Q1061" s="10"/>
      <c r="R1061" s="10"/>
      <c r="S1061" s="10"/>
      <c r="T1061" s="10"/>
      <c r="U1061" s="10"/>
      <c r="V1061" s="10"/>
      <c r="W1061" s="10"/>
      <c r="X1061" s="10"/>
      <c r="Y1061" s="10"/>
      <c r="Z1061" s="10"/>
    </row>
    <row r="1062" ht="15.75" customHeight="1">
      <c r="A1062" s="38"/>
      <c r="B1062" s="10"/>
      <c r="C1062" s="35"/>
      <c r="D1062" s="10"/>
      <c r="E1062" s="36"/>
      <c r="F1062" s="3"/>
      <c r="G1062" s="10"/>
      <c r="H1062" s="10"/>
      <c r="I1062" s="10"/>
      <c r="J1062" s="10"/>
      <c r="K1062" s="10"/>
      <c r="L1062" s="10"/>
      <c r="M1062" s="10"/>
      <c r="N1062" s="10"/>
      <c r="O1062" s="10"/>
      <c r="P1062" s="10"/>
      <c r="Q1062" s="10"/>
      <c r="R1062" s="10"/>
      <c r="S1062" s="10"/>
      <c r="T1062" s="10"/>
      <c r="U1062" s="10"/>
      <c r="V1062" s="10"/>
      <c r="W1062" s="10"/>
      <c r="X1062" s="10"/>
      <c r="Y1062" s="10"/>
      <c r="Z1062" s="10"/>
    </row>
    <row r="1063" ht="15.75" customHeight="1">
      <c r="A1063" s="38"/>
      <c r="B1063" s="10"/>
      <c r="C1063" s="35"/>
      <c r="D1063" s="10"/>
      <c r="E1063" s="36"/>
      <c r="F1063" s="3"/>
      <c r="G1063" s="10"/>
      <c r="H1063" s="10"/>
      <c r="I1063" s="10"/>
      <c r="J1063" s="10"/>
      <c r="K1063" s="10"/>
      <c r="L1063" s="10"/>
      <c r="M1063" s="10"/>
      <c r="N1063" s="10"/>
      <c r="O1063" s="10"/>
      <c r="P1063" s="10"/>
      <c r="Q1063" s="10"/>
      <c r="R1063" s="10"/>
      <c r="S1063" s="10"/>
      <c r="T1063" s="10"/>
      <c r="U1063" s="10"/>
      <c r="V1063" s="10"/>
      <c r="W1063" s="10"/>
      <c r="X1063" s="10"/>
      <c r="Y1063" s="10"/>
      <c r="Z1063" s="10"/>
    </row>
    <row r="1064" ht="15.75" customHeight="1">
      <c r="A1064" s="38"/>
      <c r="B1064" s="10"/>
      <c r="C1064" s="35"/>
      <c r="D1064" s="10"/>
      <c r="E1064" s="36"/>
      <c r="F1064" s="3"/>
      <c r="G1064" s="10"/>
      <c r="H1064" s="10"/>
      <c r="I1064" s="10"/>
      <c r="J1064" s="10"/>
      <c r="K1064" s="10"/>
      <c r="L1064" s="10"/>
      <c r="M1064" s="10"/>
      <c r="N1064" s="10"/>
      <c r="O1064" s="10"/>
      <c r="P1064" s="10"/>
      <c r="Q1064" s="10"/>
      <c r="R1064" s="10"/>
      <c r="S1064" s="10"/>
      <c r="T1064" s="10"/>
      <c r="U1064" s="10"/>
      <c r="V1064" s="10"/>
      <c r="W1064" s="10"/>
      <c r="X1064" s="10"/>
      <c r="Y1064" s="10"/>
      <c r="Z1064" s="10"/>
    </row>
    <row r="1065" ht="15.75" customHeight="1">
      <c r="A1065" s="38"/>
      <c r="B1065" s="10"/>
      <c r="C1065" s="35"/>
      <c r="D1065" s="10"/>
      <c r="E1065" s="36"/>
      <c r="F1065" s="3"/>
      <c r="G1065" s="10"/>
      <c r="H1065" s="10"/>
      <c r="I1065" s="10"/>
      <c r="J1065" s="10"/>
      <c r="K1065" s="10"/>
      <c r="L1065" s="10"/>
      <c r="M1065" s="10"/>
      <c r="N1065" s="10"/>
      <c r="O1065" s="10"/>
      <c r="P1065" s="10"/>
      <c r="Q1065" s="10"/>
      <c r="R1065" s="10"/>
      <c r="S1065" s="10"/>
      <c r="T1065" s="10"/>
      <c r="U1065" s="10"/>
      <c r="V1065" s="10"/>
      <c r="W1065" s="10"/>
      <c r="X1065" s="10"/>
      <c r="Y1065" s="10"/>
      <c r="Z1065" s="10"/>
    </row>
    <row r="1066" ht="15.75" customHeight="1">
      <c r="A1066" s="38"/>
      <c r="B1066" s="10"/>
      <c r="C1066" s="35"/>
      <c r="D1066" s="10"/>
      <c r="E1066" s="36"/>
      <c r="F1066" s="3"/>
      <c r="G1066" s="10"/>
      <c r="H1066" s="10"/>
      <c r="I1066" s="10"/>
      <c r="J1066" s="10"/>
      <c r="K1066" s="10"/>
      <c r="L1066" s="10"/>
      <c r="M1066" s="10"/>
      <c r="N1066" s="10"/>
      <c r="O1066" s="10"/>
      <c r="P1066" s="10"/>
      <c r="Q1066" s="10"/>
      <c r="R1066" s="10"/>
      <c r="S1066" s="10"/>
      <c r="T1066" s="10"/>
      <c r="U1066" s="10"/>
      <c r="V1066" s="10"/>
      <c r="W1066" s="10"/>
      <c r="X1066" s="10"/>
      <c r="Y1066" s="10"/>
      <c r="Z1066" s="10"/>
    </row>
    <row r="1067" ht="15.75" customHeight="1">
      <c r="A1067" s="38"/>
      <c r="B1067" s="10"/>
      <c r="C1067" s="35"/>
      <c r="D1067" s="10"/>
      <c r="E1067" s="36"/>
      <c r="F1067" s="3"/>
      <c r="G1067" s="10"/>
      <c r="H1067" s="10"/>
      <c r="I1067" s="10"/>
      <c r="J1067" s="10"/>
      <c r="K1067" s="10"/>
      <c r="L1067" s="10"/>
      <c r="M1067" s="10"/>
      <c r="N1067" s="10"/>
      <c r="O1067" s="10"/>
      <c r="P1067" s="10"/>
      <c r="Q1067" s="10"/>
      <c r="R1067" s="10"/>
      <c r="S1067" s="10"/>
      <c r="T1067" s="10"/>
      <c r="U1067" s="10"/>
      <c r="V1067" s="10"/>
      <c r="W1067" s="10"/>
      <c r="X1067" s="10"/>
      <c r="Y1067" s="10"/>
      <c r="Z1067" s="10"/>
    </row>
    <row r="1068" ht="15.75" customHeight="1">
      <c r="A1068" s="38"/>
      <c r="B1068" s="10"/>
      <c r="C1068" s="35"/>
      <c r="D1068" s="10"/>
      <c r="E1068" s="36"/>
      <c r="F1068" s="3"/>
      <c r="G1068" s="10"/>
      <c r="H1068" s="10"/>
      <c r="I1068" s="10"/>
      <c r="J1068" s="10"/>
      <c r="K1068" s="10"/>
      <c r="L1068" s="10"/>
      <c r="M1068" s="10"/>
      <c r="N1068" s="10"/>
      <c r="O1068" s="10"/>
      <c r="P1068" s="10"/>
      <c r="Q1068" s="10"/>
      <c r="R1068" s="10"/>
      <c r="S1068" s="10"/>
      <c r="T1068" s="10"/>
      <c r="U1068" s="10"/>
      <c r="V1068" s="10"/>
      <c r="W1068" s="10"/>
      <c r="X1068" s="10"/>
      <c r="Y1068" s="10"/>
      <c r="Z1068" s="10"/>
    </row>
    <row r="1069" ht="15.75" customHeight="1">
      <c r="A1069" s="38"/>
      <c r="B1069" s="10"/>
      <c r="C1069" s="35"/>
      <c r="D1069" s="10"/>
      <c r="E1069" s="36"/>
      <c r="F1069" s="3"/>
      <c r="G1069" s="10"/>
      <c r="H1069" s="10"/>
      <c r="I1069" s="10"/>
      <c r="J1069" s="10"/>
      <c r="K1069" s="10"/>
      <c r="L1069" s="10"/>
      <c r="M1069" s="10"/>
      <c r="N1069" s="10"/>
      <c r="O1069" s="10"/>
      <c r="P1069" s="10"/>
      <c r="Q1069" s="10"/>
      <c r="R1069" s="10"/>
      <c r="S1069" s="10"/>
      <c r="T1069" s="10"/>
      <c r="U1069" s="10"/>
      <c r="V1069" s="10"/>
      <c r="W1069" s="10"/>
      <c r="X1069" s="10"/>
      <c r="Y1069" s="10"/>
      <c r="Z1069" s="10"/>
    </row>
    <row r="1070" ht="15.75" customHeight="1">
      <c r="A1070" s="38"/>
      <c r="B1070" s="10"/>
      <c r="C1070" s="35"/>
      <c r="D1070" s="10"/>
      <c r="E1070" s="36"/>
      <c r="F1070" s="3"/>
      <c r="G1070" s="10"/>
      <c r="H1070" s="10"/>
      <c r="I1070" s="10"/>
      <c r="J1070" s="10"/>
      <c r="K1070" s="10"/>
      <c r="L1070" s="10"/>
      <c r="M1070" s="10"/>
      <c r="N1070" s="10"/>
      <c r="O1070" s="10"/>
      <c r="P1070" s="10"/>
      <c r="Q1070" s="10"/>
      <c r="R1070" s="10"/>
      <c r="S1070" s="10"/>
      <c r="T1070" s="10"/>
      <c r="U1070" s="10"/>
      <c r="V1070" s="10"/>
      <c r="W1070" s="10"/>
      <c r="X1070" s="10"/>
      <c r="Y1070" s="10"/>
      <c r="Z1070" s="10"/>
    </row>
    <row r="1071" ht="15.75" customHeight="1">
      <c r="A1071" s="38"/>
      <c r="B1071" s="10"/>
      <c r="C1071" s="35"/>
      <c r="D1071" s="10"/>
      <c r="E1071" s="36"/>
      <c r="F1071" s="3"/>
      <c r="G1071" s="10"/>
      <c r="H1071" s="10"/>
      <c r="I1071" s="10"/>
      <c r="J1071" s="10"/>
      <c r="K1071" s="10"/>
      <c r="L1071" s="10"/>
      <c r="M1071" s="10"/>
      <c r="N1071" s="10"/>
      <c r="O1071" s="10"/>
      <c r="P1071" s="10"/>
      <c r="Q1071" s="10"/>
      <c r="R1071" s="10"/>
      <c r="S1071" s="10"/>
      <c r="T1071" s="10"/>
      <c r="U1071" s="10"/>
      <c r="V1071" s="10"/>
      <c r="W1071" s="10"/>
      <c r="X1071" s="10"/>
      <c r="Y1071" s="10"/>
      <c r="Z1071" s="10"/>
    </row>
    <row r="1072" ht="15.75" customHeight="1">
      <c r="A1072" s="38"/>
      <c r="B1072" s="10"/>
      <c r="C1072" s="35"/>
      <c r="D1072" s="10"/>
      <c r="E1072" s="36"/>
      <c r="F1072" s="3"/>
      <c r="G1072" s="10"/>
      <c r="H1072" s="10"/>
      <c r="I1072" s="10"/>
      <c r="J1072" s="10"/>
      <c r="K1072" s="10"/>
      <c r="L1072" s="10"/>
      <c r="M1072" s="10"/>
      <c r="N1072" s="10"/>
      <c r="O1072" s="10"/>
      <c r="P1072" s="10"/>
      <c r="Q1072" s="10"/>
      <c r="R1072" s="10"/>
      <c r="S1072" s="10"/>
      <c r="T1072" s="10"/>
      <c r="U1072" s="10"/>
      <c r="V1072" s="10"/>
      <c r="W1072" s="10"/>
      <c r="X1072" s="10"/>
      <c r="Y1072" s="10"/>
      <c r="Z1072" s="10"/>
    </row>
  </sheetData>
  <conditionalFormatting sqref="G3:G121">
    <cfRule type="colorScale" priority="1">
      <colorScale>
        <cfvo type="min"/>
        <cfvo type="max"/>
        <color rgb="FF57BB8A"/>
        <color rgb="FFFFFFFF"/>
      </colorScale>
    </cfRule>
  </conditionalFormatting>
  <dataValidations>
    <dataValidation type="list" allowBlank="1" sqref="G2:G121">
      <formula1>"Đang phát triển,Testing,Hoàn thành,Đang chờ triển khai"</formula1>
    </dataValidation>
    <dataValidation type="custom" allowBlank="1" showDropDown="1" sqref="F2:F3">
      <formula1/>
    </dataValidation>
    <dataValidation type="custom" allowBlank="1" showDropDown="1" sqref="F4:F121">
      <formula1/>
    </dataValidation>
  </dataValidations>
  <printOptions/>
  <pageMargins bottom="0.75" footer="0.0" header="0.0" left="0.7" right="0.7" top="0.75"/>
  <pageSetup orientation="landscape"/>
  <drawing r:id="rId2"/>
  <legacy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